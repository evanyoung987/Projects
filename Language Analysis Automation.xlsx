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anyoung/Downloads/"/>
    </mc:Choice>
  </mc:AlternateContent>
  <xr:revisionPtr revIDLastSave="0" documentId="8_{AA2A60EC-E16E-D340-A0BF-2778165DEF41}" xr6:coauthVersionLast="47" xr6:coauthVersionMax="47" xr10:uidLastSave="{00000000-0000-0000-0000-000000000000}"/>
  <bookViews>
    <workbookView xWindow="220" yWindow="680" windowWidth="13420" windowHeight="15800" activeTab="1" xr2:uid="{5D200CB9-F43D-B645-BC9D-704ACBE7DE2B}"/>
  </bookViews>
  <sheets>
    <sheet name="Instructions" sheetId="1" r:id="rId1"/>
    <sheet name="Analysi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8" i="2" l="1"/>
  <c r="D157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K8" i="2" s="1"/>
  <c r="K7" i="2"/>
  <c r="F7" i="2"/>
  <c r="K6" i="2"/>
  <c r="F6" i="2"/>
  <c r="D159" i="2" s="1"/>
</calcChain>
</file>

<file path=xl/sharedStrings.xml><?xml version="1.0" encoding="utf-8"?>
<sst xmlns="http://schemas.openxmlformats.org/spreadsheetml/2006/main" count="169" uniqueCount="148">
  <si>
    <t>Language Analysis Tool - Quick Start Guide</t>
  </si>
  <si>
    <t>OVERVIEW</t>
  </si>
  <si>
    <t>This workbook helps analyze baby speech by tracking word stems. Use the Python script to mark first occurrences, then paste results here for automatic counting.</t>
  </si>
  <si>
    <t>STEP-BY-STEP INSTRUCTIONS</t>
  </si>
  <si>
    <t>STEP 1: Export Your Utterances</t>
  </si>
  <si>
    <t xml:space="preserve">1. Copy the utterances </t>
  </si>
  <si>
    <t>2. Open TextEdit (Mac) or Notepad (Windows)</t>
  </si>
  <si>
    <t>3. Paste the utterances</t>
  </si>
  <si>
    <t>4. Save as 'utterances.txt' (plain text, not RTF) it must be saved as this name</t>
  </si>
  <si>
    <t>STEP 2: Run the Python Script</t>
  </si>
  <si>
    <t>Mac Terminal:</t>
  </si>
  <si>
    <t xml:space="preserve">  cd drag in folder</t>
  </si>
  <si>
    <t>Hit enter then type the two file names in the folder  Ex. "MarkFirstWord.py utterances.txt"</t>
  </si>
  <si>
    <t>Windows PowerShell:</t>
  </si>
  <si>
    <t>STEP 3: Copy Marked Results Back</t>
  </si>
  <si>
    <t>1. Open utterances_marked.txt</t>
  </si>
  <si>
    <t>2. Copy ALL the text</t>
  </si>
  <si>
    <t>4. Go to the 'Analysis' sheet, the next sheet in this workbook</t>
  </si>
  <si>
    <t>5. Click on cell C6</t>
  </si>
  <si>
    <t>6. Paste (Cmd+V or Ctrl+V)</t>
  </si>
  <si>
    <t>7. Click on cell D6</t>
  </si>
  <si>
    <t>8. Paste (Cmd+V or Ctrl+V)</t>
  </si>
  <si>
    <t>STEP 4: Automatic Counting</t>
  </si>
  <si>
    <t>✓ Column F automatically counts *^ markers in each utterance</t>
  </si>
  <si>
    <t>✓ TNU, MLU, NDW are calculated automatically at the bottom</t>
  </si>
  <si>
    <t>✓ You're done! Just fill in columns E and G manually</t>
  </si>
  <si>
    <t>IMPORTANT NOTES</t>
  </si>
  <si>
    <t>• Words with *^ markers = FIRST occurrence (counted as new stem)</t>
  </si>
  <si>
    <t>• Words without markers = REPEATED words (counted as 0)</t>
  </si>
  <si>
    <t>• ALL words are tracked including 'a', 'the', 'on', etc.</t>
  </si>
  <si>
    <t>• The Python script must be run OUTSIDE of Excel</t>
  </si>
  <si>
    <t>• Make sure to save as plain .txt file, NOT .rtf or .docx</t>
  </si>
  <si>
    <t>EXAMPLE</t>
  </si>
  <si>
    <t>Original Utterance:</t>
  </si>
  <si>
    <t>a cow.</t>
  </si>
  <si>
    <t>After Python Script:</t>
  </si>
  <si>
    <t>*^a *^cow.</t>
  </si>
  <si>
    <t># New Word Stems:</t>
  </si>
  <si>
    <t>2 (automatically counted)</t>
  </si>
  <si>
    <t>yellow.</t>
  </si>
  <si>
    <t>*^yellow.</t>
  </si>
  <si>
    <t>yellow.  (second time)</t>
  </si>
  <si>
    <t>yellow.  (no markers)</t>
  </si>
  <si>
    <t xml:space="preserve">  3. Click the paste type button in excel, using the import wizard and selecting Fixed width. Or could paste into word and copy again if pasting into excel is not working. </t>
  </si>
  <si>
    <t>Language Analysis Automation</t>
  </si>
  <si>
    <t>150 utterances at a time</t>
  </si>
  <si>
    <t>INSTRUCTIONS: (1) Paste marked utterances from Python script in column C and D, (2) Fill in morphemes (column E) manually, (3) Column F auto-counts new stems!</t>
  </si>
  <si>
    <t>Utterance #</t>
  </si>
  <si>
    <t>Child Utterance (Paste Marked Text Here)</t>
  </si>
  <si>
    <t>Click Button for bold</t>
  </si>
  <si>
    <t># of Morphemes</t>
  </si>
  <si>
    <t># New Word Stems</t>
  </si>
  <si>
    <t>Grammatical Morphemes</t>
  </si>
  <si>
    <t>*^doggie.</t>
  </si>
  <si>
    <t>doggie.</t>
  </si>
  <si>
    <t>TNU =</t>
  </si>
  <si>
    <t>*^big doggie.</t>
  </si>
  <si>
    <r>
      <t>big</t>
    </r>
    <r>
      <rPr>
        <sz val="11"/>
        <color theme="1"/>
        <rFont val="Calibri"/>
        <family val="2"/>
      </rPr>
      <t xml:space="preserve"> doggie.</t>
    </r>
  </si>
  <si>
    <t>MLU =</t>
  </si>
  <si>
    <t>*^I *^see doggie.</t>
  </si>
  <si>
    <r>
      <t>I</t>
    </r>
    <r>
      <rPr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</rPr>
      <t>see</t>
    </r>
    <r>
      <rPr>
        <sz val="11"/>
        <color theme="1"/>
        <rFont val="Calibri"/>
        <family val="2"/>
      </rPr>
      <t xml:space="preserve"> doggie.</t>
    </r>
  </si>
  <si>
    <t>NDW =</t>
  </si>
  <si>
    <t>*^ball.</t>
  </si>
  <si>
    <t>ball.</t>
  </si>
  <si>
    <t>*^throw ball.</t>
  </si>
  <si>
    <r>
      <t>throw</t>
    </r>
    <r>
      <rPr>
        <sz val="11"/>
        <color theme="1"/>
        <rFont val="Calibri"/>
        <family val="2"/>
      </rPr>
      <t xml:space="preserve"> ball.</t>
    </r>
  </si>
  <si>
    <t>I throw ball.</t>
  </si>
  <si>
    <t>*^mommy.</t>
  </si>
  <si>
    <t>mommy.</t>
  </si>
  <si>
    <t>*^hi mommy.</t>
  </si>
  <si>
    <r>
      <t>hi</t>
    </r>
    <r>
      <rPr>
        <sz val="11"/>
        <color theme="1"/>
        <rFont val="Calibri"/>
        <family val="2"/>
      </rPr>
      <t xml:space="preserve"> mommy.</t>
    </r>
  </si>
  <si>
    <t>mommy *^go.</t>
  </si>
  <si>
    <r>
      <t xml:space="preserve">mommy </t>
    </r>
    <r>
      <rPr>
        <b/>
        <sz val="11"/>
        <color theme="1"/>
        <rFont val="Calibri"/>
        <family val="2"/>
      </rPr>
      <t>go.</t>
    </r>
  </si>
  <si>
    <t>go *^bye-bye.</t>
  </si>
  <si>
    <r>
      <t xml:space="preserve">go </t>
    </r>
    <r>
      <rPr>
        <b/>
        <sz val="11"/>
        <color theme="1"/>
        <rFont val="Calibri"/>
        <family val="2"/>
      </rPr>
      <t>bye-bye.</t>
    </r>
  </si>
  <si>
    <t>*^daddy bye-bye.</t>
  </si>
  <si>
    <r>
      <t>daddy</t>
    </r>
    <r>
      <rPr>
        <sz val="11"/>
        <color theme="1"/>
        <rFont val="Calibri"/>
        <family val="2"/>
      </rPr>
      <t xml:space="preserve"> bye-bye.</t>
    </r>
  </si>
  <si>
    <t>*^where daddy?</t>
  </si>
  <si>
    <r>
      <t>where</t>
    </r>
    <r>
      <rPr>
        <sz val="11"/>
        <color theme="1"/>
        <rFont val="Calibri"/>
        <family val="2"/>
      </rPr>
      <t xml:space="preserve"> daddy?</t>
    </r>
  </si>
  <si>
    <t>*^my *^truck.</t>
  </si>
  <si>
    <r>
      <t>my</t>
    </r>
    <r>
      <rPr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</rPr>
      <t>truck.</t>
    </r>
  </si>
  <si>
    <t>big truck.</t>
  </si>
  <si>
    <t>truck go.</t>
  </si>
  <si>
    <t>*^want *^juice.</t>
  </si>
  <si>
    <r>
      <t>want</t>
    </r>
    <r>
      <rPr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</rPr>
      <t>juice.</t>
    </r>
  </si>
  <si>
    <t>I want juice.</t>
  </si>
  <si>
    <t>*^more juice.</t>
  </si>
  <si>
    <r>
      <t>more</t>
    </r>
    <r>
      <rPr>
        <sz val="11"/>
        <color theme="1"/>
        <rFont val="Calibri"/>
        <family val="2"/>
      </rPr>
      <t xml:space="preserve"> juice.</t>
    </r>
  </si>
  <si>
    <t>*^no.</t>
  </si>
  <si>
    <t>no.</t>
  </si>
  <si>
    <t>no no no.</t>
  </si>
  <si>
    <t>*^baby *^crying.</t>
  </si>
  <si>
    <r>
      <t>baby</t>
    </r>
    <r>
      <rPr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</rPr>
      <t>crying.</t>
    </r>
  </si>
  <si>
    <t>baby *^sleep.</t>
  </si>
  <si>
    <r>
      <t xml:space="preserve">baby </t>
    </r>
    <r>
      <rPr>
        <b/>
        <sz val="11"/>
        <color theme="1"/>
        <rFont val="Calibri"/>
        <family val="2"/>
      </rPr>
      <t>sleep.</t>
    </r>
  </si>
  <si>
    <t>*^night night baby.</t>
  </si>
  <si>
    <r>
      <t>night</t>
    </r>
    <r>
      <rPr>
        <sz val="11"/>
        <color theme="1"/>
        <rFont val="Calibri"/>
        <family val="2"/>
      </rPr>
      <t xml:space="preserve"> night baby.</t>
    </r>
  </si>
  <si>
    <t>*^up.</t>
  </si>
  <si>
    <t>up.</t>
  </si>
  <si>
    <t>*^pick up.</t>
  </si>
  <si>
    <r>
      <t>pick</t>
    </r>
    <r>
      <rPr>
        <sz val="11"/>
        <color theme="1"/>
        <rFont val="Calibri"/>
        <family val="2"/>
      </rPr>
      <t xml:space="preserve"> up.</t>
    </r>
  </si>
  <si>
    <t>*^kitty *^cat.</t>
  </si>
  <si>
    <r>
      <t>kitty</t>
    </r>
    <r>
      <rPr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</rPr>
      <t>cat.</t>
    </r>
  </si>
  <si>
    <t>*^nice kitty.</t>
  </si>
  <si>
    <r>
      <t>nice</t>
    </r>
    <r>
      <rPr>
        <sz val="11"/>
        <color theme="1"/>
        <rFont val="Calibri"/>
        <family val="2"/>
      </rPr>
      <t xml:space="preserve"> kitty.</t>
    </r>
  </si>
  <si>
    <t>*^pet *^the kitty.</t>
  </si>
  <si>
    <r>
      <t>pet</t>
    </r>
    <r>
      <rPr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</rPr>
      <t>the</t>
    </r>
    <r>
      <rPr>
        <sz val="11"/>
        <color theme="1"/>
        <rFont val="Calibri"/>
        <family val="2"/>
      </rPr>
      <t xml:space="preserve"> kitty.</t>
    </r>
  </si>
  <si>
    <t>*^cookie.</t>
  </si>
  <si>
    <t>cookie.</t>
  </si>
  <si>
    <t>want cookie.</t>
  </si>
  <si>
    <t>*^eat cookie.</t>
  </si>
  <si>
    <r>
      <t>eat</t>
    </r>
    <r>
      <rPr>
        <sz val="11"/>
        <color theme="1"/>
        <rFont val="Calibri"/>
        <family val="2"/>
      </rPr>
      <t xml:space="preserve"> cookie.</t>
    </r>
  </si>
  <si>
    <t>*^yummy cookie.</t>
  </si>
  <si>
    <r>
      <t>yummy</t>
    </r>
    <r>
      <rPr>
        <sz val="11"/>
        <color theme="1"/>
        <rFont val="Calibri"/>
        <family val="2"/>
      </rPr>
      <t xml:space="preserve"> cookie.</t>
    </r>
  </si>
  <si>
    <t>*^all *^done.</t>
  </si>
  <si>
    <r>
      <t>all</t>
    </r>
    <r>
      <rPr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</rPr>
      <t>done.</t>
    </r>
  </si>
  <si>
    <t>all done juice.</t>
  </si>
  <si>
    <t>*^uh *^oh.</t>
  </si>
  <si>
    <r>
      <t>uh</t>
    </r>
    <r>
      <rPr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</rPr>
      <t>oh.</t>
    </r>
  </si>
  <si>
    <t>uh oh *^fall *^down.</t>
  </si>
  <si>
    <r>
      <t xml:space="preserve">uh oh </t>
    </r>
    <r>
      <rPr>
        <b/>
        <sz val="11"/>
        <color theme="1"/>
        <rFont val="Calibri"/>
        <family val="2"/>
      </rPr>
      <t>fall</t>
    </r>
    <r>
      <rPr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</rPr>
      <t>down.</t>
    </r>
  </si>
  <si>
    <t>*^what *^that?</t>
  </si>
  <si>
    <r>
      <t>what</t>
    </r>
    <r>
      <rPr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</rPr>
      <t>that?</t>
    </r>
  </si>
  <si>
    <t>that *^a ball.</t>
  </si>
  <si>
    <r>
      <t>th</t>
    </r>
    <r>
      <rPr>
        <b/>
        <sz val="11"/>
        <color theme="1"/>
        <rFont val="Calibri"/>
        <family val="2"/>
      </rPr>
      <t>a</t>
    </r>
    <r>
      <rPr>
        <sz val="11"/>
        <color theme="1"/>
        <rFont val="Calibri"/>
        <family val="2"/>
      </rPr>
      <t>t a ball.</t>
    </r>
  </si>
  <si>
    <t>*^red ball.</t>
  </si>
  <si>
    <r>
      <t>red</t>
    </r>
    <r>
      <rPr>
        <sz val="11"/>
        <color theme="1"/>
        <rFont val="Calibri"/>
        <family val="2"/>
      </rPr>
      <t xml:space="preserve"> ball.</t>
    </r>
  </si>
  <si>
    <t>*^shoes.</t>
  </si>
  <si>
    <t>shoes.</t>
  </si>
  <si>
    <t>my shoes.</t>
  </si>
  <si>
    <t>*^put *^on shoes.</t>
  </si>
  <si>
    <r>
      <t>put</t>
    </r>
    <r>
      <rPr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</rPr>
      <t>on</t>
    </r>
    <r>
      <rPr>
        <sz val="11"/>
        <color theme="1"/>
        <rFont val="Calibri"/>
        <family val="2"/>
      </rPr>
      <t xml:space="preserve"> shoes.</t>
    </r>
  </si>
  <si>
    <t>*^book.</t>
  </si>
  <si>
    <t>book.</t>
  </si>
  <si>
    <t>*^read book.</t>
  </si>
  <si>
    <r>
      <t>read</t>
    </r>
    <r>
      <rPr>
        <sz val="11"/>
        <color theme="1"/>
        <rFont val="Calibri"/>
        <family val="2"/>
      </rPr>
      <t xml:space="preserve"> book.</t>
    </r>
  </si>
  <si>
    <t>more book.</t>
  </si>
  <si>
    <t>*^pretty *^flowers.</t>
  </si>
  <si>
    <r>
      <t>pretty</t>
    </r>
    <r>
      <rPr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</rPr>
      <t>flowers.</t>
    </r>
  </si>
  <si>
    <t>I see flowers.</t>
  </si>
  <si>
    <t>*^bird.</t>
  </si>
  <si>
    <t>bird.</t>
  </si>
  <si>
    <t>bird *^flying.</t>
  </si>
  <si>
    <r>
      <t xml:space="preserve">bird </t>
    </r>
    <r>
      <rPr>
        <b/>
        <sz val="11"/>
        <color theme="1"/>
        <rFont val="Calibri"/>
        <family val="2"/>
      </rPr>
      <t>flying.</t>
    </r>
  </si>
  <si>
    <t>*^bye bye bird.</t>
  </si>
  <si>
    <r>
      <t>bye</t>
    </r>
    <r>
      <rPr>
        <sz val="11"/>
        <color theme="1"/>
        <rFont val="Calibri"/>
        <family val="2"/>
      </rPr>
      <t xml:space="preserve"> bye bird.</t>
    </r>
  </si>
  <si>
    <t>*^hot.</t>
  </si>
  <si>
    <t>hot.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</si>
</sst>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6"/>
      <color rgb="FFFFFFFF"/>
      <name val="Arial"/>
      <family val="2"/>
    </font>
    <font>
      <b/>
      <sz val="12"/>
      <color rgb="FF4472C4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24"/>
      <color theme="1"/>
      <name val="Bookman Old Style"/>
      <family val="1"/>
    </font>
    <font>
      <sz val="12"/>
      <color theme="1"/>
      <name val="Bookman Old Style"/>
      <family val="1"/>
    </font>
    <font>
      <b/>
      <sz val="11"/>
      <color theme="1"/>
      <name val="Arial"/>
      <family val="2"/>
    </font>
    <font>
      <b/>
      <sz val="11"/>
      <color rgb="FFFFFFFF"/>
      <name val="Arial"/>
      <family val="2"/>
    </font>
    <font>
      <sz val="10"/>
      <color rgb="FFFFFFFF"/>
      <name val="Arial"/>
      <family val="2"/>
    </font>
    <font>
      <sz val="11"/>
      <color rgb="FFFFFFFF"/>
      <name val="Arial"/>
      <family val="2"/>
    </font>
    <font>
      <b/>
      <sz val="11"/>
      <color theme="1"/>
      <name val="Calibri"/>
      <family val="2"/>
    </font>
    <font>
      <sz val="11"/>
      <color rgb="FF0000FF"/>
      <name val="Arial"/>
      <family val="2"/>
    </font>
    <font>
      <sz val="11"/>
      <color theme="1"/>
      <name val="Calibri"/>
      <family val="2"/>
    </font>
    <font>
      <b/>
      <sz val="11"/>
      <color rgb="FF0000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F2CC"/>
        <bgColor rgb="FFFCE4D6"/>
      </patternFill>
    </fill>
    <fill>
      <patternFill patternType="solid">
        <fgColor rgb="FFE7E6E6"/>
        <bgColor rgb="FFFCE4D6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CE4D6"/>
        <bgColor rgb="FFFFF2CC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4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0" borderId="4" xfId="0" applyFont="1" applyBorder="1"/>
    <xf numFmtId="0" fontId="2" fillId="0" borderId="0" xfId="0" applyFont="1" applyBorder="1"/>
    <xf numFmtId="0" fontId="2" fillId="0" borderId="5" xfId="0" applyFont="1" applyBorder="1"/>
    <xf numFmtId="0" fontId="3" fillId="0" borderId="4" xfId="0" applyFont="1" applyBorder="1" applyAlignment="1">
      <alignment wrapText="1"/>
    </xf>
    <xf numFmtId="0" fontId="3" fillId="0" borderId="0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4" fillId="0" borderId="4" xfId="0" applyFont="1" applyBorder="1"/>
    <xf numFmtId="0" fontId="4" fillId="0" borderId="0" xfId="0" applyFont="1" applyBorder="1"/>
    <xf numFmtId="0" fontId="4" fillId="0" borderId="5" xfId="0" applyFont="1" applyBorder="1"/>
    <xf numFmtId="0" fontId="5" fillId="0" borderId="4" xfId="0" applyFont="1" applyBorder="1" applyAlignment="1">
      <alignment indent="1"/>
    </xf>
    <xf numFmtId="0" fontId="5" fillId="0" borderId="0" xfId="0" applyFont="1" applyBorder="1" applyAlignment="1">
      <alignment indent="1"/>
    </xf>
    <xf numFmtId="0" fontId="5" fillId="0" borderId="5" xfId="0" applyFont="1" applyBorder="1" applyAlignment="1">
      <alignment indent="1"/>
    </xf>
    <xf numFmtId="0" fontId="5" fillId="0" borderId="4" xfId="0" applyFont="1" applyBorder="1" applyAlignment="1">
      <alignment indent="1"/>
    </xf>
    <xf numFmtId="0" fontId="5" fillId="0" borderId="0" xfId="0" applyFont="1" applyBorder="1" applyAlignment="1">
      <alignment indent="1"/>
    </xf>
    <xf numFmtId="0" fontId="5" fillId="0" borderId="5" xfId="0" applyFont="1" applyBorder="1" applyAlignment="1">
      <alignment indent="1"/>
    </xf>
    <xf numFmtId="0" fontId="3" fillId="3" borderId="4" xfId="0" applyFont="1" applyFill="1" applyBorder="1" applyAlignment="1">
      <alignment indent="1"/>
    </xf>
    <xf numFmtId="0" fontId="3" fillId="3" borderId="0" xfId="0" applyFont="1" applyFill="1" applyBorder="1" applyAlignment="1">
      <alignment indent="1"/>
    </xf>
    <xf numFmtId="0" fontId="3" fillId="3" borderId="5" xfId="0" applyFont="1" applyFill="1" applyBorder="1" applyAlignment="1">
      <alignment indent="1"/>
    </xf>
    <xf numFmtId="0" fontId="6" fillId="4" borderId="4" xfId="0" applyFont="1" applyFill="1" applyBorder="1"/>
    <xf numFmtId="0" fontId="5" fillId="4" borderId="0" xfId="0" applyFont="1" applyFill="1" applyBorder="1"/>
    <xf numFmtId="0" fontId="5" fillId="4" borderId="5" xfId="0" applyFont="1" applyFill="1" applyBorder="1"/>
    <xf numFmtId="0" fontId="5" fillId="4" borderId="0" xfId="0" applyFont="1" applyFill="1" applyBorder="1" applyAlignment="1">
      <alignment horizontal="left"/>
    </xf>
    <xf numFmtId="0" fontId="5" fillId="4" borderId="5" xfId="0" applyFont="1" applyFill="1" applyBorder="1" applyAlignment="1">
      <alignment horizontal="left"/>
    </xf>
    <xf numFmtId="0" fontId="6" fillId="4" borderId="6" xfId="0" applyFont="1" applyFill="1" applyBorder="1"/>
    <xf numFmtId="0" fontId="5" fillId="4" borderId="7" xfId="0" applyFont="1" applyFill="1" applyBorder="1" applyAlignment="1">
      <alignment horizontal="left"/>
    </xf>
    <xf numFmtId="0" fontId="5" fillId="4" borderId="8" xfId="0" applyFont="1" applyFill="1" applyBorder="1" applyAlignment="1">
      <alignment horizontal="left"/>
    </xf>
    <xf numFmtId="0" fontId="5" fillId="0" borderId="4" xfId="0" applyFont="1" applyBorder="1" applyAlignment="1">
      <alignment horizontal="left" wrapText="1"/>
    </xf>
    <xf numFmtId="0" fontId="5" fillId="0" borderId="0" xfId="0" applyFont="1" applyBorder="1" applyAlignment="1">
      <alignment horizontal="left" wrapText="1"/>
    </xf>
    <xf numFmtId="0" fontId="5" fillId="0" borderId="5" xfId="0" applyFont="1" applyBorder="1" applyAlignment="1">
      <alignment horizontal="left" wrapText="1"/>
    </xf>
    <xf numFmtId="0" fontId="7" fillId="5" borderId="9" xfId="0" applyFont="1" applyFill="1" applyBorder="1" applyAlignment="1">
      <alignment horizontal="center"/>
    </xf>
    <xf numFmtId="0" fontId="7" fillId="5" borderId="10" xfId="0" applyFont="1" applyFill="1" applyBorder="1" applyAlignment="1">
      <alignment horizontal="center"/>
    </xf>
    <xf numFmtId="0" fontId="7" fillId="5" borderId="11" xfId="0" applyFont="1" applyFill="1" applyBorder="1" applyAlignment="1">
      <alignment horizontal="center"/>
    </xf>
    <xf numFmtId="0" fontId="8" fillId="5" borderId="12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8" fillId="5" borderId="13" xfId="0" applyFont="1" applyFill="1" applyBorder="1" applyAlignment="1">
      <alignment horizontal="center" vertical="center"/>
    </xf>
    <xf numFmtId="0" fontId="9" fillId="6" borderId="14" xfId="0" applyFont="1" applyFill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vertical="center" wrapText="1"/>
    </xf>
    <xf numFmtId="0" fontId="9" fillId="6" borderId="16" xfId="0" applyFont="1" applyFill="1" applyBorder="1" applyAlignment="1">
      <alignment horizontal="center" vertical="center" wrapText="1"/>
    </xf>
    <xf numFmtId="0" fontId="10" fillId="2" borderId="17" xfId="0" applyFont="1" applyFill="1" applyBorder="1" applyAlignment="1">
      <alignment horizontal="center" vertical="center" wrapText="1"/>
    </xf>
    <xf numFmtId="0" fontId="11" fillId="2" borderId="18" xfId="0" applyFont="1" applyFill="1" applyBorder="1" applyAlignment="1">
      <alignment horizontal="center" vertical="center" wrapText="1"/>
    </xf>
    <xf numFmtId="0" fontId="12" fillId="2" borderId="18" xfId="0" applyFont="1" applyFill="1" applyBorder="1" applyAlignment="1">
      <alignment horizontal="center" vertical="center" wrapText="1"/>
    </xf>
    <xf numFmtId="0" fontId="10" fillId="2" borderId="18" xfId="0" applyFont="1" applyFill="1" applyBorder="1" applyAlignment="1">
      <alignment horizontal="center" vertical="center" wrapText="1"/>
    </xf>
    <xf numFmtId="0" fontId="10" fillId="2" borderId="19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13" fillId="0" borderId="0" xfId="0" applyFont="1"/>
    <xf numFmtId="0" fontId="0" fillId="0" borderId="0" xfId="0" applyAlignment="1">
      <alignment horizontal="center"/>
    </xf>
    <xf numFmtId="0" fontId="14" fillId="0" borderId="0" xfId="0" applyFont="1"/>
    <xf numFmtId="2" fontId="16" fillId="0" borderId="0" xfId="0" applyNumberFormat="1" applyFont="1"/>
    <xf numFmtId="0" fontId="15" fillId="0" borderId="0" xfId="0" applyFont="1"/>
    <xf numFmtId="0" fontId="0" fillId="0" borderId="6" xfId="0" applyBorder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/>
    </xf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32BB2-0CE6-894C-B9AE-AB9F823EC4D5}">
  <dimension ref="B2:G57"/>
  <sheetViews>
    <sheetView topLeftCell="A20" workbookViewId="0">
      <selection activeCell="H29" sqref="H29"/>
    </sheetView>
  </sheetViews>
  <sheetFormatPr baseColWidth="10" defaultRowHeight="16" x14ac:dyDescent="0.2"/>
  <cols>
    <col min="2" max="2" width="36.5" customWidth="1"/>
    <col min="3" max="3" width="31.1640625" customWidth="1"/>
  </cols>
  <sheetData>
    <row r="2" spans="2:7" ht="36" customHeight="1" x14ac:dyDescent="0.2">
      <c r="B2" s="2" t="s">
        <v>0</v>
      </c>
      <c r="C2" s="3"/>
      <c r="D2" s="3"/>
      <c r="E2" s="3"/>
      <c r="F2" s="3"/>
      <c r="G2" s="4"/>
    </row>
    <row r="3" spans="2:7" x14ac:dyDescent="0.2">
      <c r="B3" s="5"/>
      <c r="C3" s="6"/>
      <c r="D3" s="6"/>
      <c r="E3" s="6"/>
      <c r="F3" s="6"/>
      <c r="G3" s="7"/>
    </row>
    <row r="4" spans="2:7" x14ac:dyDescent="0.2">
      <c r="B4" s="8" t="s">
        <v>1</v>
      </c>
      <c r="C4" s="9"/>
      <c r="D4" s="9"/>
      <c r="E4" s="9"/>
      <c r="F4" s="9"/>
      <c r="G4" s="10"/>
    </row>
    <row r="5" spans="2:7" ht="32" customHeight="1" x14ac:dyDescent="0.2">
      <c r="B5" s="11" t="s">
        <v>2</v>
      </c>
      <c r="C5" s="12"/>
      <c r="D5" s="12"/>
      <c r="E5" s="12"/>
      <c r="F5" s="12"/>
      <c r="G5" s="13"/>
    </row>
    <row r="6" spans="2:7" x14ac:dyDescent="0.2">
      <c r="B6" s="5"/>
      <c r="C6" s="6"/>
      <c r="D6" s="6"/>
      <c r="E6" s="6"/>
      <c r="F6" s="6"/>
      <c r="G6" s="7"/>
    </row>
    <row r="7" spans="2:7" x14ac:dyDescent="0.2">
      <c r="B7" s="8" t="s">
        <v>3</v>
      </c>
      <c r="C7" s="9"/>
      <c r="D7" s="9"/>
      <c r="E7" s="9"/>
      <c r="F7" s="9"/>
      <c r="G7" s="10"/>
    </row>
    <row r="8" spans="2:7" x14ac:dyDescent="0.2">
      <c r="B8" s="5"/>
      <c r="C8" s="6"/>
      <c r="D8" s="6"/>
      <c r="E8" s="6"/>
      <c r="F8" s="6"/>
      <c r="G8" s="7"/>
    </row>
    <row r="9" spans="2:7" x14ac:dyDescent="0.2">
      <c r="B9" s="14" t="s">
        <v>4</v>
      </c>
      <c r="C9" s="15"/>
      <c r="D9" s="15"/>
      <c r="E9" s="15"/>
      <c r="F9" s="15"/>
      <c r="G9" s="16"/>
    </row>
    <row r="10" spans="2:7" x14ac:dyDescent="0.2">
      <c r="B10" s="17" t="s">
        <v>5</v>
      </c>
      <c r="C10" s="18"/>
      <c r="D10" s="18"/>
      <c r="E10" s="18"/>
      <c r="F10" s="18"/>
      <c r="G10" s="19"/>
    </row>
    <row r="11" spans="2:7" x14ac:dyDescent="0.2">
      <c r="B11" s="17" t="s">
        <v>6</v>
      </c>
      <c r="C11" s="18"/>
      <c r="D11" s="18"/>
      <c r="E11" s="18"/>
      <c r="F11" s="18"/>
      <c r="G11" s="19"/>
    </row>
    <row r="12" spans="2:7" x14ac:dyDescent="0.2">
      <c r="B12" s="17" t="s">
        <v>7</v>
      </c>
      <c r="C12" s="18"/>
      <c r="D12" s="18"/>
      <c r="E12" s="18"/>
      <c r="F12" s="18"/>
      <c r="G12" s="19"/>
    </row>
    <row r="13" spans="2:7" x14ac:dyDescent="0.2">
      <c r="B13" s="17" t="s">
        <v>8</v>
      </c>
      <c r="C13" s="18"/>
      <c r="D13" s="18"/>
      <c r="E13" s="18"/>
      <c r="F13" s="18"/>
      <c r="G13" s="19"/>
    </row>
    <row r="14" spans="2:7" x14ac:dyDescent="0.2">
      <c r="B14" s="5"/>
      <c r="C14" s="6"/>
      <c r="D14" s="6"/>
      <c r="E14" s="6"/>
      <c r="F14" s="6"/>
      <c r="G14" s="7"/>
    </row>
    <row r="15" spans="2:7" x14ac:dyDescent="0.2">
      <c r="B15" s="14" t="s">
        <v>9</v>
      </c>
      <c r="C15" s="15"/>
      <c r="D15" s="15"/>
      <c r="E15" s="15"/>
      <c r="F15" s="15"/>
      <c r="G15" s="16"/>
    </row>
    <row r="16" spans="2:7" x14ac:dyDescent="0.2">
      <c r="B16" s="17" t="s">
        <v>10</v>
      </c>
      <c r="C16" s="18"/>
      <c r="D16" s="18"/>
      <c r="E16" s="18"/>
      <c r="F16" s="18"/>
      <c r="G16" s="19"/>
    </row>
    <row r="17" spans="2:7" x14ac:dyDescent="0.2">
      <c r="B17" s="17" t="s">
        <v>11</v>
      </c>
      <c r="C17" s="18"/>
      <c r="D17" s="18"/>
      <c r="E17" s="18"/>
      <c r="F17" s="18"/>
      <c r="G17" s="19"/>
    </row>
    <row r="18" spans="2:7" x14ac:dyDescent="0.2">
      <c r="B18" s="17" t="s">
        <v>12</v>
      </c>
      <c r="C18" s="18"/>
      <c r="D18" s="18"/>
      <c r="E18" s="18"/>
      <c r="F18" s="18"/>
      <c r="G18" s="19"/>
    </row>
    <row r="19" spans="2:7" x14ac:dyDescent="0.2">
      <c r="B19" s="17"/>
      <c r="C19" s="18"/>
      <c r="D19" s="18"/>
      <c r="E19" s="18"/>
      <c r="F19" s="18"/>
      <c r="G19" s="19"/>
    </row>
    <row r="20" spans="2:7" x14ac:dyDescent="0.2">
      <c r="B20" s="17" t="s">
        <v>13</v>
      </c>
      <c r="C20" s="18"/>
      <c r="D20" s="18"/>
      <c r="E20" s="18"/>
      <c r="F20" s="18"/>
      <c r="G20" s="19"/>
    </row>
    <row r="21" spans="2:7" x14ac:dyDescent="0.2">
      <c r="B21" s="17" t="s">
        <v>11</v>
      </c>
      <c r="C21" s="18"/>
      <c r="D21" s="18"/>
      <c r="E21" s="18"/>
      <c r="F21" s="18"/>
      <c r="G21" s="19"/>
    </row>
    <row r="22" spans="2:7" x14ac:dyDescent="0.2">
      <c r="B22" s="17" t="s">
        <v>12</v>
      </c>
      <c r="C22" s="18"/>
      <c r="D22" s="18"/>
      <c r="E22" s="18"/>
      <c r="F22" s="18"/>
      <c r="G22" s="19"/>
    </row>
    <row r="23" spans="2:7" x14ac:dyDescent="0.2">
      <c r="B23" s="5"/>
      <c r="C23" s="6"/>
      <c r="D23" s="6"/>
      <c r="E23" s="6"/>
      <c r="F23" s="6"/>
      <c r="G23" s="7"/>
    </row>
    <row r="24" spans="2:7" x14ac:dyDescent="0.2">
      <c r="B24" s="14" t="s">
        <v>14</v>
      </c>
      <c r="C24" s="15"/>
      <c r="D24" s="15"/>
      <c r="E24" s="15"/>
      <c r="F24" s="15"/>
      <c r="G24" s="16"/>
    </row>
    <row r="25" spans="2:7" x14ac:dyDescent="0.2">
      <c r="B25" s="17" t="s">
        <v>15</v>
      </c>
      <c r="C25" s="18"/>
      <c r="D25" s="18"/>
      <c r="E25" s="18"/>
      <c r="F25" s="18"/>
      <c r="G25" s="19"/>
    </row>
    <row r="26" spans="2:7" x14ac:dyDescent="0.2">
      <c r="B26" s="17" t="s">
        <v>16</v>
      </c>
      <c r="C26" s="18"/>
      <c r="D26" s="18"/>
      <c r="E26" s="18"/>
      <c r="F26" s="18"/>
      <c r="G26" s="19"/>
    </row>
    <row r="27" spans="2:7" ht="29" customHeight="1" x14ac:dyDescent="0.2">
      <c r="B27" s="34" t="s">
        <v>43</v>
      </c>
      <c r="C27" s="35"/>
      <c r="D27" s="35"/>
      <c r="E27" s="35"/>
      <c r="F27" s="35"/>
      <c r="G27" s="36"/>
    </row>
    <row r="28" spans="2:7" x14ac:dyDescent="0.2">
      <c r="B28" s="17" t="s">
        <v>17</v>
      </c>
      <c r="C28" s="18"/>
      <c r="D28" s="18"/>
      <c r="E28" s="18"/>
      <c r="F28" s="18"/>
      <c r="G28" s="19"/>
    </row>
    <row r="29" spans="2:7" x14ac:dyDescent="0.2">
      <c r="B29" s="17" t="s">
        <v>18</v>
      </c>
      <c r="C29" s="18"/>
      <c r="D29" s="18"/>
      <c r="E29" s="18"/>
      <c r="F29" s="18"/>
      <c r="G29" s="19"/>
    </row>
    <row r="30" spans="2:7" x14ac:dyDescent="0.2">
      <c r="B30" s="17" t="s">
        <v>19</v>
      </c>
      <c r="C30" s="18"/>
      <c r="D30" s="18"/>
      <c r="E30" s="18"/>
      <c r="F30" s="18"/>
      <c r="G30" s="19"/>
    </row>
    <row r="31" spans="2:7" x14ac:dyDescent="0.2">
      <c r="B31" s="17" t="s">
        <v>20</v>
      </c>
      <c r="C31" s="18"/>
      <c r="D31" s="18"/>
      <c r="E31" s="18"/>
      <c r="F31" s="18"/>
      <c r="G31" s="19"/>
    </row>
    <row r="32" spans="2:7" x14ac:dyDescent="0.2">
      <c r="B32" s="17" t="s">
        <v>21</v>
      </c>
      <c r="C32" s="18"/>
      <c r="D32" s="18"/>
      <c r="E32" s="18"/>
      <c r="F32" s="18"/>
      <c r="G32" s="19"/>
    </row>
    <row r="33" spans="2:7" x14ac:dyDescent="0.2">
      <c r="B33" s="20"/>
      <c r="C33" s="21"/>
      <c r="D33" s="21"/>
      <c r="E33" s="21"/>
      <c r="F33" s="21"/>
      <c r="G33" s="22"/>
    </row>
    <row r="34" spans="2:7" x14ac:dyDescent="0.2">
      <c r="B34" s="14" t="s">
        <v>22</v>
      </c>
      <c r="C34" s="15"/>
      <c r="D34" s="15"/>
      <c r="E34" s="15"/>
      <c r="F34" s="15"/>
      <c r="G34" s="16"/>
    </row>
    <row r="35" spans="2:7" x14ac:dyDescent="0.2">
      <c r="B35" s="17" t="s">
        <v>23</v>
      </c>
      <c r="C35" s="18"/>
      <c r="D35" s="18"/>
      <c r="E35" s="18"/>
      <c r="F35" s="18"/>
      <c r="G35" s="19"/>
    </row>
    <row r="36" spans="2:7" x14ac:dyDescent="0.2">
      <c r="B36" s="17" t="s">
        <v>24</v>
      </c>
      <c r="C36" s="18"/>
      <c r="D36" s="18"/>
      <c r="E36" s="18"/>
      <c r="F36" s="18"/>
      <c r="G36" s="19"/>
    </row>
    <row r="37" spans="2:7" x14ac:dyDescent="0.2">
      <c r="B37" s="17" t="s">
        <v>25</v>
      </c>
      <c r="C37" s="18"/>
      <c r="D37" s="18"/>
      <c r="E37" s="18"/>
      <c r="F37" s="18"/>
      <c r="G37" s="19"/>
    </row>
    <row r="38" spans="2:7" x14ac:dyDescent="0.2">
      <c r="B38" s="5"/>
      <c r="C38" s="6"/>
      <c r="D38" s="6"/>
      <c r="E38" s="6"/>
      <c r="F38" s="6"/>
      <c r="G38" s="7"/>
    </row>
    <row r="39" spans="2:7" x14ac:dyDescent="0.2">
      <c r="B39" s="8" t="s">
        <v>26</v>
      </c>
      <c r="C39" s="9"/>
      <c r="D39" s="9"/>
      <c r="E39" s="9"/>
      <c r="F39" s="9"/>
      <c r="G39" s="10"/>
    </row>
    <row r="40" spans="2:7" x14ac:dyDescent="0.2">
      <c r="B40" s="23" t="s">
        <v>27</v>
      </c>
      <c r="C40" s="24"/>
      <c r="D40" s="24"/>
      <c r="E40" s="24"/>
      <c r="F40" s="24"/>
      <c r="G40" s="25"/>
    </row>
    <row r="41" spans="2:7" x14ac:dyDescent="0.2">
      <c r="B41" s="23" t="s">
        <v>28</v>
      </c>
      <c r="C41" s="24"/>
      <c r="D41" s="24"/>
      <c r="E41" s="24"/>
      <c r="F41" s="24"/>
      <c r="G41" s="25"/>
    </row>
    <row r="42" spans="2:7" x14ac:dyDescent="0.2">
      <c r="B42" s="23" t="s">
        <v>29</v>
      </c>
      <c r="C42" s="24"/>
      <c r="D42" s="24"/>
      <c r="E42" s="24"/>
      <c r="F42" s="24"/>
      <c r="G42" s="25"/>
    </row>
    <row r="43" spans="2:7" x14ac:dyDescent="0.2">
      <c r="B43" s="23" t="s">
        <v>30</v>
      </c>
      <c r="C43" s="24"/>
      <c r="D43" s="24"/>
      <c r="E43" s="24"/>
      <c r="F43" s="24"/>
      <c r="G43" s="25"/>
    </row>
    <row r="44" spans="2:7" x14ac:dyDescent="0.2">
      <c r="B44" s="23" t="s">
        <v>31</v>
      </c>
      <c r="C44" s="24"/>
      <c r="D44" s="24"/>
      <c r="E44" s="24"/>
      <c r="F44" s="24"/>
      <c r="G44" s="25"/>
    </row>
    <row r="45" spans="2:7" x14ac:dyDescent="0.2">
      <c r="B45" s="5"/>
      <c r="C45" s="6"/>
      <c r="D45" s="6"/>
      <c r="E45" s="6"/>
      <c r="F45" s="6"/>
      <c r="G45" s="7"/>
    </row>
    <row r="46" spans="2:7" x14ac:dyDescent="0.2">
      <c r="B46" s="8" t="s">
        <v>32</v>
      </c>
      <c r="C46" s="9"/>
      <c r="D46" s="9"/>
      <c r="E46" s="9"/>
      <c r="F46" s="9"/>
      <c r="G46" s="10"/>
    </row>
    <row r="47" spans="2:7" x14ac:dyDescent="0.2">
      <c r="B47" s="26" t="s">
        <v>33</v>
      </c>
      <c r="C47" s="27" t="s">
        <v>34</v>
      </c>
      <c r="D47" s="27"/>
      <c r="E47" s="27"/>
      <c r="F47" s="27"/>
      <c r="G47" s="28"/>
    </row>
    <row r="48" spans="2:7" x14ac:dyDescent="0.2">
      <c r="B48" s="26" t="s">
        <v>35</v>
      </c>
      <c r="C48" s="27" t="s">
        <v>36</v>
      </c>
      <c r="D48" s="27"/>
      <c r="E48" s="27"/>
      <c r="F48" s="27"/>
      <c r="G48" s="28"/>
    </row>
    <row r="49" spans="2:7" x14ac:dyDescent="0.2">
      <c r="B49" s="26" t="s">
        <v>37</v>
      </c>
      <c r="C49" s="27" t="s">
        <v>38</v>
      </c>
      <c r="D49" s="27"/>
      <c r="E49" s="27"/>
      <c r="F49" s="27"/>
      <c r="G49" s="28"/>
    </row>
    <row r="50" spans="2:7" x14ac:dyDescent="0.2">
      <c r="B50" s="26"/>
      <c r="C50" s="27"/>
      <c r="D50" s="27"/>
      <c r="E50" s="27"/>
      <c r="F50" s="27"/>
      <c r="G50" s="28"/>
    </row>
    <row r="51" spans="2:7" x14ac:dyDescent="0.2">
      <c r="B51" s="26" t="s">
        <v>33</v>
      </c>
      <c r="C51" s="27" t="s">
        <v>39</v>
      </c>
      <c r="D51" s="27"/>
      <c r="E51" s="27"/>
      <c r="F51" s="27"/>
      <c r="G51" s="28"/>
    </row>
    <row r="52" spans="2:7" x14ac:dyDescent="0.2">
      <c r="B52" s="26" t="s">
        <v>35</v>
      </c>
      <c r="C52" s="27" t="s">
        <v>40</v>
      </c>
      <c r="D52" s="27"/>
      <c r="E52" s="27"/>
      <c r="F52" s="27"/>
      <c r="G52" s="28"/>
    </row>
    <row r="53" spans="2:7" x14ac:dyDescent="0.2">
      <c r="B53" s="26" t="s">
        <v>37</v>
      </c>
      <c r="C53" s="29">
        <v>1</v>
      </c>
      <c r="D53" s="29"/>
      <c r="E53" s="29"/>
      <c r="F53" s="29"/>
      <c r="G53" s="30"/>
    </row>
    <row r="54" spans="2:7" x14ac:dyDescent="0.2">
      <c r="B54" s="26"/>
      <c r="C54" s="27"/>
      <c r="D54" s="27"/>
      <c r="E54" s="27"/>
      <c r="F54" s="27"/>
      <c r="G54" s="28"/>
    </row>
    <row r="55" spans="2:7" x14ac:dyDescent="0.2">
      <c r="B55" s="26" t="s">
        <v>33</v>
      </c>
      <c r="C55" s="27" t="s">
        <v>41</v>
      </c>
      <c r="D55" s="27"/>
      <c r="E55" s="27"/>
      <c r="F55" s="27"/>
      <c r="G55" s="28"/>
    </row>
    <row r="56" spans="2:7" x14ac:dyDescent="0.2">
      <c r="B56" s="26" t="s">
        <v>35</v>
      </c>
      <c r="C56" s="27" t="s">
        <v>42</v>
      </c>
      <c r="D56" s="27"/>
      <c r="E56" s="27"/>
      <c r="F56" s="27"/>
      <c r="G56" s="28"/>
    </row>
    <row r="57" spans="2:7" x14ac:dyDescent="0.2">
      <c r="B57" s="31" t="s">
        <v>37</v>
      </c>
      <c r="C57" s="32">
        <v>0</v>
      </c>
      <c r="D57" s="32"/>
      <c r="E57" s="32"/>
      <c r="F57" s="32"/>
      <c r="G57" s="33"/>
    </row>
  </sheetData>
  <mergeCells count="48">
    <mergeCell ref="C53:G53"/>
    <mergeCell ref="C54:G54"/>
    <mergeCell ref="C55:G55"/>
    <mergeCell ref="C56:G56"/>
    <mergeCell ref="C57:G57"/>
    <mergeCell ref="B27:G27"/>
    <mergeCell ref="C47:G47"/>
    <mergeCell ref="C48:G48"/>
    <mergeCell ref="C49:G49"/>
    <mergeCell ref="C50:G50"/>
    <mergeCell ref="C51:G51"/>
    <mergeCell ref="C52:G52"/>
    <mergeCell ref="B40:G40"/>
    <mergeCell ref="B41:G41"/>
    <mergeCell ref="B42:G42"/>
    <mergeCell ref="B43:G43"/>
    <mergeCell ref="B44:G44"/>
    <mergeCell ref="B46:G46"/>
    <mergeCell ref="B32:G32"/>
    <mergeCell ref="B34:G34"/>
    <mergeCell ref="B35:G35"/>
    <mergeCell ref="B36:G36"/>
    <mergeCell ref="B37:G37"/>
    <mergeCell ref="B39:G39"/>
    <mergeCell ref="B25:G25"/>
    <mergeCell ref="B26:G26"/>
    <mergeCell ref="B28:G28"/>
    <mergeCell ref="B29:G29"/>
    <mergeCell ref="B30:G30"/>
    <mergeCell ref="B31:G31"/>
    <mergeCell ref="B18:G18"/>
    <mergeCell ref="B19:G19"/>
    <mergeCell ref="B20:G20"/>
    <mergeCell ref="B21:G21"/>
    <mergeCell ref="B22:G22"/>
    <mergeCell ref="B24:G24"/>
    <mergeCell ref="B11:G11"/>
    <mergeCell ref="B12:G12"/>
    <mergeCell ref="B13:G13"/>
    <mergeCell ref="B15:G15"/>
    <mergeCell ref="B16:G16"/>
    <mergeCell ref="B17:G17"/>
    <mergeCell ref="B2:G2"/>
    <mergeCell ref="B4:G4"/>
    <mergeCell ref="B5:G5"/>
    <mergeCell ref="B7:G7"/>
    <mergeCell ref="B9:G9"/>
    <mergeCell ref="B10:G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F90F0-55CB-5240-8456-14B38C204798}">
  <dimension ref="B1:K159"/>
  <sheetViews>
    <sheetView tabSelected="1" zoomScale="75" workbookViewId="0">
      <selection activeCell="J13" sqref="J13"/>
    </sheetView>
  </sheetViews>
  <sheetFormatPr baseColWidth="10" defaultRowHeight="16" x14ac:dyDescent="0.2"/>
  <cols>
    <col min="2" max="2" width="14.1640625" customWidth="1"/>
    <col min="3" max="3" width="18.1640625" customWidth="1"/>
    <col min="4" max="4" width="14.6640625" customWidth="1"/>
    <col min="5" max="5" width="15.5" customWidth="1"/>
    <col min="6" max="6" width="19.5" customWidth="1"/>
    <col min="7" max="7" width="14" customWidth="1"/>
  </cols>
  <sheetData>
    <row r="1" spans="2:11" ht="17" thickBot="1" x14ac:dyDescent="0.25"/>
    <row r="2" spans="2:11" ht="31" x14ac:dyDescent="0.35">
      <c r="B2" s="37" t="s">
        <v>44</v>
      </c>
      <c r="C2" s="38"/>
      <c r="D2" s="38"/>
      <c r="E2" s="38"/>
      <c r="F2" s="38"/>
      <c r="G2" s="39"/>
    </row>
    <row r="3" spans="2:11" ht="25" customHeight="1" x14ac:dyDescent="0.2">
      <c r="B3" s="40" t="s">
        <v>45</v>
      </c>
      <c r="C3" s="41"/>
      <c r="D3" s="41"/>
      <c r="E3" s="41"/>
      <c r="F3" s="41"/>
      <c r="G3" s="42"/>
    </row>
    <row r="4" spans="2:11" ht="42" customHeight="1" thickBot="1" x14ac:dyDescent="0.25">
      <c r="B4" s="43" t="s">
        <v>46</v>
      </c>
      <c r="C4" s="44"/>
      <c r="D4" s="44"/>
      <c r="E4" s="44"/>
      <c r="F4" s="44"/>
      <c r="G4" s="45"/>
    </row>
    <row r="5" spans="2:11" ht="70" x14ac:dyDescent="0.2">
      <c r="B5" s="46" t="s">
        <v>47</v>
      </c>
      <c r="C5" s="47" t="s">
        <v>48</v>
      </c>
      <c r="D5" s="48" t="s">
        <v>49</v>
      </c>
      <c r="E5" s="49" t="s">
        <v>50</v>
      </c>
      <c r="F5" s="49" t="s">
        <v>51</v>
      </c>
      <c r="G5" s="50" t="s">
        <v>52</v>
      </c>
    </row>
    <row r="6" spans="2:11" x14ac:dyDescent="0.2">
      <c r="B6" s="51">
        <v>1</v>
      </c>
      <c r="C6" t="s">
        <v>53</v>
      </c>
      <c r="D6" s="52" t="s">
        <v>54</v>
      </c>
      <c r="F6" s="53">
        <f>IF(C6="", "", (LEN(C6)-LEN(SUBSTITUTE(C6, "*^", "")))/2)</f>
        <v>1</v>
      </c>
      <c r="G6" s="7"/>
      <c r="I6" s="1" t="s">
        <v>55</v>
      </c>
      <c r="J6" s="1"/>
      <c r="K6" s="54">
        <f>COUNTA(D6:D155)</f>
        <v>51</v>
      </c>
    </row>
    <row r="7" spans="2:11" x14ac:dyDescent="0.2">
      <c r="B7" s="51">
        <v>2</v>
      </c>
      <c r="C7" t="s">
        <v>56</v>
      </c>
      <c r="D7" s="52" t="s">
        <v>57</v>
      </c>
      <c r="F7" s="53">
        <f t="shared" ref="F7:F70" si="0">IF(C7="", "", (LEN(C7)-LEN(SUBSTITUTE(C7, "*^", "")))/2)</f>
        <v>1</v>
      </c>
      <c r="G7" s="7"/>
      <c r="I7" s="1" t="s">
        <v>58</v>
      </c>
      <c r="J7" s="1"/>
      <c r="K7" s="55" t="str">
        <f>IFERROR(AVERAGE(E6:E155), "")</f>
        <v/>
      </c>
    </row>
    <row r="8" spans="2:11" x14ac:dyDescent="0.2">
      <c r="B8" s="51">
        <v>3</v>
      </c>
      <c r="C8" t="s">
        <v>59</v>
      </c>
      <c r="D8" s="52" t="s">
        <v>60</v>
      </c>
      <c r="F8" s="53">
        <f t="shared" si="0"/>
        <v>2</v>
      </c>
      <c r="G8" s="7"/>
      <c r="I8" s="1" t="s">
        <v>61</v>
      </c>
      <c r="J8" s="1"/>
      <c r="K8" s="54">
        <f>SUM(F6:F155)</f>
        <v>53</v>
      </c>
    </row>
    <row r="9" spans="2:11" x14ac:dyDescent="0.2">
      <c r="B9" s="51">
        <v>4</v>
      </c>
      <c r="C9" t="s">
        <v>62</v>
      </c>
      <c r="D9" s="52" t="s">
        <v>63</v>
      </c>
      <c r="F9" s="53">
        <f t="shared" si="0"/>
        <v>1</v>
      </c>
      <c r="G9" s="7"/>
      <c r="K9" s="54"/>
    </row>
    <row r="10" spans="2:11" x14ac:dyDescent="0.2">
      <c r="B10" s="51">
        <v>5</v>
      </c>
      <c r="C10" t="s">
        <v>64</v>
      </c>
      <c r="D10" s="52" t="s">
        <v>65</v>
      </c>
      <c r="F10" s="53">
        <f t="shared" si="0"/>
        <v>1</v>
      </c>
      <c r="G10" s="7"/>
    </row>
    <row r="11" spans="2:11" x14ac:dyDescent="0.2">
      <c r="B11" s="51">
        <v>6</v>
      </c>
      <c r="C11" t="s">
        <v>66</v>
      </c>
      <c r="D11" t="s">
        <v>66</v>
      </c>
      <c r="F11" s="53">
        <f t="shared" si="0"/>
        <v>0</v>
      </c>
      <c r="G11" s="7"/>
    </row>
    <row r="12" spans="2:11" x14ac:dyDescent="0.2">
      <c r="B12" s="51">
        <v>7</v>
      </c>
      <c r="C12" t="s">
        <v>67</v>
      </c>
      <c r="D12" s="52" t="s">
        <v>68</v>
      </c>
      <c r="F12" s="53">
        <f t="shared" si="0"/>
        <v>1</v>
      </c>
      <c r="G12" s="7"/>
    </row>
    <row r="13" spans="2:11" x14ac:dyDescent="0.2">
      <c r="B13" s="51">
        <v>8</v>
      </c>
      <c r="C13" t="s">
        <v>69</v>
      </c>
      <c r="D13" s="52" t="s">
        <v>70</v>
      </c>
      <c r="F13" s="53">
        <f t="shared" si="0"/>
        <v>1</v>
      </c>
      <c r="G13" s="7"/>
    </row>
    <row r="14" spans="2:11" x14ac:dyDescent="0.2">
      <c r="B14" s="51">
        <v>9</v>
      </c>
      <c r="C14" t="s">
        <v>71</v>
      </c>
      <c r="D14" s="56" t="s">
        <v>72</v>
      </c>
      <c r="F14" s="53">
        <f t="shared" si="0"/>
        <v>1</v>
      </c>
      <c r="G14" s="7"/>
    </row>
    <row r="15" spans="2:11" x14ac:dyDescent="0.2">
      <c r="B15" s="51">
        <v>10</v>
      </c>
      <c r="C15" t="s">
        <v>73</v>
      </c>
      <c r="D15" s="56" t="s">
        <v>74</v>
      </c>
      <c r="F15" s="53">
        <f t="shared" si="0"/>
        <v>1</v>
      </c>
      <c r="G15" s="7"/>
    </row>
    <row r="16" spans="2:11" x14ac:dyDescent="0.2">
      <c r="B16" s="51">
        <v>11</v>
      </c>
      <c r="C16" t="s">
        <v>75</v>
      </c>
      <c r="D16" s="52" t="s">
        <v>76</v>
      </c>
      <c r="F16" s="53">
        <f t="shared" si="0"/>
        <v>1</v>
      </c>
      <c r="G16" s="7"/>
    </row>
    <row r="17" spans="2:7" x14ac:dyDescent="0.2">
      <c r="B17" s="51">
        <v>12</v>
      </c>
      <c r="C17" t="s">
        <v>77</v>
      </c>
      <c r="D17" s="52" t="s">
        <v>78</v>
      </c>
      <c r="F17" s="53">
        <f t="shared" si="0"/>
        <v>1</v>
      </c>
      <c r="G17" s="7"/>
    </row>
    <row r="18" spans="2:7" x14ac:dyDescent="0.2">
      <c r="B18" s="51">
        <v>13</v>
      </c>
      <c r="C18" t="s">
        <v>79</v>
      </c>
      <c r="D18" s="52" t="s">
        <v>80</v>
      </c>
      <c r="F18" s="53">
        <f t="shared" si="0"/>
        <v>2</v>
      </c>
      <c r="G18" s="7"/>
    </row>
    <row r="19" spans="2:7" x14ac:dyDescent="0.2">
      <c r="B19" s="51">
        <v>14</v>
      </c>
      <c r="C19" t="s">
        <v>81</v>
      </c>
      <c r="D19" t="s">
        <v>81</v>
      </c>
      <c r="F19" s="53">
        <f t="shared" si="0"/>
        <v>0</v>
      </c>
      <c r="G19" s="7"/>
    </row>
    <row r="20" spans="2:7" x14ac:dyDescent="0.2">
      <c r="B20" s="51">
        <v>15</v>
      </c>
      <c r="C20" t="s">
        <v>82</v>
      </c>
      <c r="D20" t="s">
        <v>82</v>
      </c>
      <c r="F20" s="53">
        <f t="shared" si="0"/>
        <v>0</v>
      </c>
      <c r="G20" s="7"/>
    </row>
    <row r="21" spans="2:7" x14ac:dyDescent="0.2">
      <c r="B21" s="51">
        <v>16</v>
      </c>
      <c r="C21" t="s">
        <v>83</v>
      </c>
      <c r="D21" s="52" t="s">
        <v>84</v>
      </c>
      <c r="F21" s="53">
        <f t="shared" si="0"/>
        <v>2</v>
      </c>
      <c r="G21" s="7"/>
    </row>
    <row r="22" spans="2:7" x14ac:dyDescent="0.2">
      <c r="B22" s="51">
        <v>17</v>
      </c>
      <c r="C22" t="s">
        <v>85</v>
      </c>
      <c r="D22" t="s">
        <v>85</v>
      </c>
      <c r="F22" s="53">
        <f t="shared" si="0"/>
        <v>0</v>
      </c>
      <c r="G22" s="7"/>
    </row>
    <row r="23" spans="2:7" x14ac:dyDescent="0.2">
      <c r="B23" s="51">
        <v>18</v>
      </c>
      <c r="C23" t="s">
        <v>86</v>
      </c>
      <c r="D23" s="52" t="s">
        <v>87</v>
      </c>
      <c r="F23" s="53">
        <f t="shared" si="0"/>
        <v>1</v>
      </c>
      <c r="G23" s="7"/>
    </row>
    <row r="24" spans="2:7" x14ac:dyDescent="0.2">
      <c r="B24" s="51">
        <v>19</v>
      </c>
      <c r="C24" t="s">
        <v>88</v>
      </c>
      <c r="D24" s="52" t="s">
        <v>89</v>
      </c>
      <c r="F24" s="53">
        <f t="shared" si="0"/>
        <v>1</v>
      </c>
      <c r="G24" s="7"/>
    </row>
    <row r="25" spans="2:7" x14ac:dyDescent="0.2">
      <c r="B25" s="51">
        <v>20</v>
      </c>
      <c r="C25" t="s">
        <v>90</v>
      </c>
      <c r="D25" t="s">
        <v>90</v>
      </c>
      <c r="F25" s="53">
        <f t="shared" si="0"/>
        <v>0</v>
      </c>
      <c r="G25" s="7"/>
    </row>
    <row r="26" spans="2:7" x14ac:dyDescent="0.2">
      <c r="B26" s="51">
        <v>21</v>
      </c>
      <c r="C26" t="s">
        <v>91</v>
      </c>
      <c r="D26" s="52" t="s">
        <v>92</v>
      </c>
      <c r="F26" s="53">
        <f t="shared" si="0"/>
        <v>2</v>
      </c>
      <c r="G26" s="7"/>
    </row>
    <row r="27" spans="2:7" x14ac:dyDescent="0.2">
      <c r="B27" s="51">
        <v>22</v>
      </c>
      <c r="C27" t="s">
        <v>93</v>
      </c>
      <c r="D27" s="56" t="s">
        <v>94</v>
      </c>
      <c r="F27" s="53">
        <f t="shared" si="0"/>
        <v>1</v>
      </c>
      <c r="G27" s="7"/>
    </row>
    <row r="28" spans="2:7" x14ac:dyDescent="0.2">
      <c r="B28" s="51">
        <v>23</v>
      </c>
      <c r="C28" t="s">
        <v>95</v>
      </c>
      <c r="D28" s="52" t="s">
        <v>96</v>
      </c>
      <c r="F28" s="53">
        <f t="shared" si="0"/>
        <v>1</v>
      </c>
      <c r="G28" s="7"/>
    </row>
    <row r="29" spans="2:7" x14ac:dyDescent="0.2">
      <c r="B29" s="51">
        <v>24</v>
      </c>
      <c r="C29" t="s">
        <v>97</v>
      </c>
      <c r="D29" s="52" t="s">
        <v>98</v>
      </c>
      <c r="F29" s="53">
        <f t="shared" si="0"/>
        <v>1</v>
      </c>
      <c r="G29" s="7"/>
    </row>
    <row r="30" spans="2:7" x14ac:dyDescent="0.2">
      <c r="B30" s="51">
        <v>25</v>
      </c>
      <c r="C30" t="s">
        <v>99</v>
      </c>
      <c r="D30" s="52" t="s">
        <v>100</v>
      </c>
      <c r="F30" s="53">
        <f t="shared" si="0"/>
        <v>1</v>
      </c>
      <c r="G30" s="7"/>
    </row>
    <row r="31" spans="2:7" x14ac:dyDescent="0.2">
      <c r="B31" s="51">
        <v>26</v>
      </c>
      <c r="C31" t="s">
        <v>101</v>
      </c>
      <c r="D31" s="52" t="s">
        <v>102</v>
      </c>
      <c r="F31" s="53">
        <f t="shared" si="0"/>
        <v>2</v>
      </c>
      <c r="G31" s="7"/>
    </row>
    <row r="32" spans="2:7" x14ac:dyDescent="0.2">
      <c r="B32" s="51">
        <v>27</v>
      </c>
      <c r="C32" t="s">
        <v>103</v>
      </c>
      <c r="D32" s="52" t="s">
        <v>104</v>
      </c>
      <c r="F32" s="53">
        <f t="shared" si="0"/>
        <v>1</v>
      </c>
      <c r="G32" s="7"/>
    </row>
    <row r="33" spans="2:7" x14ac:dyDescent="0.2">
      <c r="B33" s="51">
        <v>28</v>
      </c>
      <c r="C33" t="s">
        <v>105</v>
      </c>
      <c r="D33" s="52" t="s">
        <v>106</v>
      </c>
      <c r="F33" s="53">
        <f t="shared" si="0"/>
        <v>2</v>
      </c>
      <c r="G33" s="7"/>
    </row>
    <row r="34" spans="2:7" x14ac:dyDescent="0.2">
      <c r="B34" s="51">
        <v>29</v>
      </c>
      <c r="C34" t="s">
        <v>107</v>
      </c>
      <c r="D34" s="52" t="s">
        <v>108</v>
      </c>
      <c r="F34" s="53">
        <f t="shared" si="0"/>
        <v>1</v>
      </c>
      <c r="G34" s="7"/>
    </row>
    <row r="35" spans="2:7" x14ac:dyDescent="0.2">
      <c r="B35" s="51">
        <v>30</v>
      </c>
      <c r="C35" t="s">
        <v>109</v>
      </c>
      <c r="D35" t="s">
        <v>109</v>
      </c>
      <c r="F35" s="53">
        <f t="shared" si="0"/>
        <v>0</v>
      </c>
      <c r="G35" s="7"/>
    </row>
    <row r="36" spans="2:7" x14ac:dyDescent="0.2">
      <c r="B36" s="51">
        <v>31</v>
      </c>
      <c r="C36" t="s">
        <v>110</v>
      </c>
      <c r="D36" s="52" t="s">
        <v>111</v>
      </c>
      <c r="F36" s="53">
        <f t="shared" si="0"/>
        <v>1</v>
      </c>
      <c r="G36" s="7"/>
    </row>
    <row r="37" spans="2:7" x14ac:dyDescent="0.2">
      <c r="B37" s="51">
        <v>32</v>
      </c>
      <c r="C37" t="s">
        <v>112</v>
      </c>
      <c r="D37" s="52" t="s">
        <v>113</v>
      </c>
      <c r="F37" s="53">
        <f t="shared" si="0"/>
        <v>1</v>
      </c>
      <c r="G37" s="7"/>
    </row>
    <row r="38" spans="2:7" x14ac:dyDescent="0.2">
      <c r="B38" s="51">
        <v>33</v>
      </c>
      <c r="C38" t="s">
        <v>114</v>
      </c>
      <c r="D38" s="52" t="s">
        <v>115</v>
      </c>
      <c r="F38" s="53">
        <f t="shared" si="0"/>
        <v>2</v>
      </c>
      <c r="G38" s="7"/>
    </row>
    <row r="39" spans="2:7" x14ac:dyDescent="0.2">
      <c r="B39" s="51">
        <v>34</v>
      </c>
      <c r="C39" t="s">
        <v>116</v>
      </c>
      <c r="D39" t="s">
        <v>116</v>
      </c>
      <c r="F39" s="53">
        <f t="shared" si="0"/>
        <v>0</v>
      </c>
      <c r="G39" s="7"/>
    </row>
    <row r="40" spans="2:7" x14ac:dyDescent="0.2">
      <c r="B40" s="51">
        <v>35</v>
      </c>
      <c r="C40" t="s">
        <v>117</v>
      </c>
      <c r="D40" s="52" t="s">
        <v>118</v>
      </c>
      <c r="F40" s="53">
        <f t="shared" si="0"/>
        <v>2</v>
      </c>
      <c r="G40" s="7"/>
    </row>
    <row r="41" spans="2:7" x14ac:dyDescent="0.2">
      <c r="B41" s="51">
        <v>36</v>
      </c>
      <c r="C41" t="s">
        <v>119</v>
      </c>
      <c r="D41" s="56" t="s">
        <v>120</v>
      </c>
      <c r="F41" s="53">
        <f t="shared" si="0"/>
        <v>2</v>
      </c>
      <c r="G41" s="7"/>
    </row>
    <row r="42" spans="2:7" x14ac:dyDescent="0.2">
      <c r="B42" s="51">
        <v>37</v>
      </c>
      <c r="C42" t="s">
        <v>121</v>
      </c>
      <c r="D42" s="52" t="s">
        <v>122</v>
      </c>
      <c r="F42" s="53">
        <f t="shared" si="0"/>
        <v>2</v>
      </c>
      <c r="G42" s="7"/>
    </row>
    <row r="43" spans="2:7" x14ac:dyDescent="0.2">
      <c r="B43" s="51">
        <v>38</v>
      </c>
      <c r="C43" t="s">
        <v>123</v>
      </c>
      <c r="D43" s="56" t="s">
        <v>124</v>
      </c>
      <c r="F43" s="53">
        <f t="shared" si="0"/>
        <v>1</v>
      </c>
      <c r="G43" s="7"/>
    </row>
    <row r="44" spans="2:7" x14ac:dyDescent="0.2">
      <c r="B44" s="51">
        <v>39</v>
      </c>
      <c r="C44" t="s">
        <v>125</v>
      </c>
      <c r="D44" s="52" t="s">
        <v>126</v>
      </c>
      <c r="F44" s="53">
        <f t="shared" si="0"/>
        <v>1</v>
      </c>
      <c r="G44" s="7"/>
    </row>
    <row r="45" spans="2:7" x14ac:dyDescent="0.2">
      <c r="B45" s="51">
        <v>40</v>
      </c>
      <c r="C45" t="s">
        <v>127</v>
      </c>
      <c r="D45" s="52" t="s">
        <v>128</v>
      </c>
      <c r="F45" s="53">
        <f t="shared" si="0"/>
        <v>1</v>
      </c>
      <c r="G45" s="7"/>
    </row>
    <row r="46" spans="2:7" x14ac:dyDescent="0.2">
      <c r="B46" s="51">
        <v>41</v>
      </c>
      <c r="C46" t="s">
        <v>129</v>
      </c>
      <c r="D46" t="s">
        <v>129</v>
      </c>
      <c r="F46" s="53">
        <f t="shared" si="0"/>
        <v>0</v>
      </c>
      <c r="G46" s="7"/>
    </row>
    <row r="47" spans="2:7" x14ac:dyDescent="0.2">
      <c r="B47" s="51">
        <v>42</v>
      </c>
      <c r="C47" t="s">
        <v>130</v>
      </c>
      <c r="D47" s="52" t="s">
        <v>131</v>
      </c>
      <c r="F47" s="53">
        <f t="shared" si="0"/>
        <v>2</v>
      </c>
      <c r="G47" s="7"/>
    </row>
    <row r="48" spans="2:7" x14ac:dyDescent="0.2">
      <c r="B48" s="51">
        <v>43</v>
      </c>
      <c r="C48" t="s">
        <v>132</v>
      </c>
      <c r="D48" s="52" t="s">
        <v>133</v>
      </c>
      <c r="F48" s="53">
        <f t="shared" si="0"/>
        <v>1</v>
      </c>
      <c r="G48" s="7"/>
    </row>
    <row r="49" spans="2:7" x14ac:dyDescent="0.2">
      <c r="B49" s="51">
        <v>44</v>
      </c>
      <c r="C49" t="s">
        <v>134</v>
      </c>
      <c r="D49" s="52" t="s">
        <v>135</v>
      </c>
      <c r="F49" s="53">
        <f t="shared" si="0"/>
        <v>1</v>
      </c>
      <c r="G49" s="7"/>
    </row>
    <row r="50" spans="2:7" x14ac:dyDescent="0.2">
      <c r="B50" s="51">
        <v>45</v>
      </c>
      <c r="C50" t="s">
        <v>136</v>
      </c>
      <c r="D50" t="s">
        <v>136</v>
      </c>
      <c r="F50" s="53">
        <f t="shared" si="0"/>
        <v>0</v>
      </c>
      <c r="G50" s="7"/>
    </row>
    <row r="51" spans="2:7" x14ac:dyDescent="0.2">
      <c r="B51" s="51">
        <v>46</v>
      </c>
      <c r="C51" t="s">
        <v>137</v>
      </c>
      <c r="D51" s="52" t="s">
        <v>138</v>
      </c>
      <c r="F51" s="53">
        <f t="shared" si="0"/>
        <v>2</v>
      </c>
      <c r="G51" s="7"/>
    </row>
    <row r="52" spans="2:7" x14ac:dyDescent="0.2">
      <c r="B52" s="51">
        <v>47</v>
      </c>
      <c r="C52" t="s">
        <v>139</v>
      </c>
      <c r="D52" t="s">
        <v>139</v>
      </c>
      <c r="F52" s="53">
        <f t="shared" si="0"/>
        <v>0</v>
      </c>
      <c r="G52" s="7"/>
    </row>
    <row r="53" spans="2:7" x14ac:dyDescent="0.2">
      <c r="B53" s="51">
        <v>48</v>
      </c>
      <c r="C53" t="s">
        <v>140</v>
      </c>
      <c r="D53" s="52" t="s">
        <v>141</v>
      </c>
      <c r="F53" s="53">
        <f t="shared" si="0"/>
        <v>1</v>
      </c>
      <c r="G53" s="7"/>
    </row>
    <row r="54" spans="2:7" x14ac:dyDescent="0.2">
      <c r="B54" s="51">
        <v>49</v>
      </c>
      <c r="C54" t="s">
        <v>142</v>
      </c>
      <c r="D54" s="56" t="s">
        <v>143</v>
      </c>
      <c r="F54" s="53">
        <f t="shared" si="0"/>
        <v>1</v>
      </c>
      <c r="G54" s="7"/>
    </row>
    <row r="55" spans="2:7" x14ac:dyDescent="0.2">
      <c r="B55" s="51">
        <v>50</v>
      </c>
      <c r="C55" t="s">
        <v>144</v>
      </c>
      <c r="D55" s="52" t="s">
        <v>145</v>
      </c>
      <c r="F55" s="53">
        <f t="shared" si="0"/>
        <v>1</v>
      </c>
      <c r="G55" s="7"/>
    </row>
    <row r="56" spans="2:7" x14ac:dyDescent="0.2">
      <c r="B56" s="51">
        <v>51</v>
      </c>
      <c r="C56" t="s">
        <v>146</v>
      </c>
      <c r="D56" s="52" t="s">
        <v>147</v>
      </c>
      <c r="F56" s="53">
        <f t="shared" si="0"/>
        <v>1</v>
      </c>
      <c r="G56" s="7"/>
    </row>
    <row r="57" spans="2:7" x14ac:dyDescent="0.2">
      <c r="B57" s="51">
        <v>52</v>
      </c>
      <c r="C57" s="53"/>
      <c r="D57" s="52"/>
      <c r="F57" s="53" t="str">
        <f t="shared" si="0"/>
        <v/>
      </c>
      <c r="G57" s="7"/>
    </row>
    <row r="58" spans="2:7" x14ac:dyDescent="0.2">
      <c r="B58" s="51">
        <v>53</v>
      </c>
      <c r="C58" s="53"/>
      <c r="F58" s="53" t="str">
        <f t="shared" si="0"/>
        <v/>
      </c>
      <c r="G58" s="7"/>
    </row>
    <row r="59" spans="2:7" x14ac:dyDescent="0.2">
      <c r="B59" s="51">
        <v>54</v>
      </c>
      <c r="C59" s="53"/>
      <c r="F59" s="53" t="str">
        <f t="shared" si="0"/>
        <v/>
      </c>
      <c r="G59" s="7"/>
    </row>
    <row r="60" spans="2:7" x14ac:dyDescent="0.2">
      <c r="B60" s="51">
        <v>55</v>
      </c>
      <c r="C60" s="53"/>
      <c r="F60" s="53" t="str">
        <f t="shared" si="0"/>
        <v/>
      </c>
      <c r="G60" s="7"/>
    </row>
    <row r="61" spans="2:7" x14ac:dyDescent="0.2">
      <c r="B61" s="51">
        <v>56</v>
      </c>
      <c r="C61" s="53"/>
      <c r="F61" s="53" t="str">
        <f t="shared" si="0"/>
        <v/>
      </c>
      <c r="G61" s="7"/>
    </row>
    <row r="62" spans="2:7" x14ac:dyDescent="0.2">
      <c r="B62" s="51">
        <v>57</v>
      </c>
      <c r="C62" s="53"/>
      <c r="F62" s="53" t="str">
        <f t="shared" si="0"/>
        <v/>
      </c>
      <c r="G62" s="7"/>
    </row>
    <row r="63" spans="2:7" x14ac:dyDescent="0.2">
      <c r="B63" s="51">
        <v>58</v>
      </c>
      <c r="C63" s="53"/>
      <c r="F63" s="53" t="str">
        <f t="shared" si="0"/>
        <v/>
      </c>
      <c r="G63" s="7"/>
    </row>
    <row r="64" spans="2:7" x14ac:dyDescent="0.2">
      <c r="B64" s="51">
        <v>59</v>
      </c>
      <c r="C64" s="53"/>
      <c r="F64" s="53" t="str">
        <f t="shared" si="0"/>
        <v/>
      </c>
      <c r="G64" s="7"/>
    </row>
    <row r="65" spans="2:7" x14ac:dyDescent="0.2">
      <c r="B65" s="51">
        <v>60</v>
      </c>
      <c r="C65" s="53"/>
      <c r="F65" s="53" t="str">
        <f t="shared" si="0"/>
        <v/>
      </c>
      <c r="G65" s="7"/>
    </row>
    <row r="66" spans="2:7" x14ac:dyDescent="0.2">
      <c r="B66" s="51">
        <v>61</v>
      </c>
      <c r="C66" s="53"/>
      <c r="F66" s="53" t="str">
        <f t="shared" si="0"/>
        <v/>
      </c>
      <c r="G66" s="7"/>
    </row>
    <row r="67" spans="2:7" x14ac:dyDescent="0.2">
      <c r="B67" s="51">
        <v>62</v>
      </c>
      <c r="C67" s="53"/>
      <c r="F67" s="53" t="str">
        <f t="shared" si="0"/>
        <v/>
      </c>
      <c r="G67" s="7"/>
    </row>
    <row r="68" spans="2:7" x14ac:dyDescent="0.2">
      <c r="B68" s="51">
        <v>63</v>
      </c>
      <c r="C68" s="53"/>
      <c r="F68" s="53" t="str">
        <f t="shared" si="0"/>
        <v/>
      </c>
      <c r="G68" s="7"/>
    </row>
    <row r="69" spans="2:7" x14ac:dyDescent="0.2">
      <c r="B69" s="51">
        <v>64</v>
      </c>
      <c r="C69" s="53"/>
      <c r="F69" s="53" t="str">
        <f t="shared" si="0"/>
        <v/>
      </c>
      <c r="G69" s="7"/>
    </row>
    <row r="70" spans="2:7" x14ac:dyDescent="0.2">
      <c r="B70" s="51">
        <v>65</v>
      </c>
      <c r="C70" s="53"/>
      <c r="F70" s="53" t="str">
        <f t="shared" si="0"/>
        <v/>
      </c>
      <c r="G70" s="7"/>
    </row>
    <row r="71" spans="2:7" x14ac:dyDescent="0.2">
      <c r="B71" s="51">
        <v>66</v>
      </c>
      <c r="C71" s="53"/>
      <c r="F71" s="53" t="str">
        <f t="shared" ref="F71:F134" si="1">IF(C71="", "", (LEN(C71)-LEN(SUBSTITUTE(C71, "*^", "")))/2)</f>
        <v/>
      </c>
      <c r="G71" s="7"/>
    </row>
    <row r="72" spans="2:7" x14ac:dyDescent="0.2">
      <c r="B72" s="51">
        <v>67</v>
      </c>
      <c r="C72" s="53"/>
      <c r="F72" s="53" t="str">
        <f t="shared" si="1"/>
        <v/>
      </c>
      <c r="G72" s="7"/>
    </row>
    <row r="73" spans="2:7" x14ac:dyDescent="0.2">
      <c r="B73" s="51">
        <v>68</v>
      </c>
      <c r="C73" s="53"/>
      <c r="F73" s="53" t="str">
        <f t="shared" si="1"/>
        <v/>
      </c>
      <c r="G73" s="7"/>
    </row>
    <row r="74" spans="2:7" x14ac:dyDescent="0.2">
      <c r="B74" s="51">
        <v>69</v>
      </c>
      <c r="C74" s="53"/>
      <c r="F74" s="53" t="str">
        <f t="shared" si="1"/>
        <v/>
      </c>
      <c r="G74" s="7"/>
    </row>
    <row r="75" spans="2:7" x14ac:dyDescent="0.2">
      <c r="B75" s="51">
        <v>70</v>
      </c>
      <c r="C75" s="53"/>
      <c r="F75" s="53" t="str">
        <f t="shared" si="1"/>
        <v/>
      </c>
      <c r="G75" s="7"/>
    </row>
    <row r="76" spans="2:7" x14ac:dyDescent="0.2">
      <c r="B76" s="51">
        <v>71</v>
      </c>
      <c r="C76" s="53"/>
      <c r="F76" s="53" t="str">
        <f t="shared" si="1"/>
        <v/>
      </c>
      <c r="G76" s="7"/>
    </row>
    <row r="77" spans="2:7" x14ac:dyDescent="0.2">
      <c r="B77" s="51">
        <v>72</v>
      </c>
      <c r="C77" s="53"/>
      <c r="F77" s="53" t="str">
        <f t="shared" si="1"/>
        <v/>
      </c>
      <c r="G77" s="7"/>
    </row>
    <row r="78" spans="2:7" x14ac:dyDescent="0.2">
      <c r="B78" s="51">
        <v>73</v>
      </c>
      <c r="C78" s="53"/>
      <c r="F78" s="53" t="str">
        <f t="shared" si="1"/>
        <v/>
      </c>
      <c r="G78" s="7"/>
    </row>
    <row r="79" spans="2:7" x14ac:dyDescent="0.2">
      <c r="B79" s="51">
        <v>74</v>
      </c>
      <c r="C79" s="53"/>
      <c r="F79" s="53" t="str">
        <f t="shared" si="1"/>
        <v/>
      </c>
      <c r="G79" s="7"/>
    </row>
    <row r="80" spans="2:7" x14ac:dyDescent="0.2">
      <c r="B80" s="51">
        <v>75</v>
      </c>
      <c r="C80" s="53"/>
      <c r="F80" s="53" t="str">
        <f t="shared" si="1"/>
        <v/>
      </c>
      <c r="G80" s="7"/>
    </row>
    <row r="81" spans="2:7" x14ac:dyDescent="0.2">
      <c r="B81" s="51">
        <v>76</v>
      </c>
      <c r="C81" s="53"/>
      <c r="F81" s="53" t="str">
        <f t="shared" si="1"/>
        <v/>
      </c>
      <c r="G81" s="7"/>
    </row>
    <row r="82" spans="2:7" x14ac:dyDescent="0.2">
      <c r="B82" s="51">
        <v>77</v>
      </c>
      <c r="C82" s="53"/>
      <c r="F82" s="53" t="str">
        <f t="shared" si="1"/>
        <v/>
      </c>
      <c r="G82" s="7"/>
    </row>
    <row r="83" spans="2:7" x14ac:dyDescent="0.2">
      <c r="B83" s="51">
        <v>78</v>
      </c>
      <c r="C83" s="53"/>
      <c r="F83" s="53" t="str">
        <f t="shared" si="1"/>
        <v/>
      </c>
      <c r="G83" s="7"/>
    </row>
    <row r="84" spans="2:7" x14ac:dyDescent="0.2">
      <c r="B84" s="51">
        <v>79</v>
      </c>
      <c r="C84" s="53"/>
      <c r="F84" s="53" t="str">
        <f t="shared" si="1"/>
        <v/>
      </c>
      <c r="G84" s="7"/>
    </row>
    <row r="85" spans="2:7" x14ac:dyDescent="0.2">
      <c r="B85" s="51">
        <v>80</v>
      </c>
      <c r="C85" s="53"/>
      <c r="F85" s="53" t="str">
        <f t="shared" si="1"/>
        <v/>
      </c>
      <c r="G85" s="7"/>
    </row>
    <row r="86" spans="2:7" x14ac:dyDescent="0.2">
      <c r="B86" s="51">
        <v>81</v>
      </c>
      <c r="C86" s="53"/>
      <c r="F86" s="53" t="str">
        <f t="shared" si="1"/>
        <v/>
      </c>
      <c r="G86" s="7"/>
    </row>
    <row r="87" spans="2:7" x14ac:dyDescent="0.2">
      <c r="B87" s="51">
        <v>82</v>
      </c>
      <c r="C87" s="53"/>
      <c r="F87" s="53" t="str">
        <f t="shared" si="1"/>
        <v/>
      </c>
      <c r="G87" s="7"/>
    </row>
    <row r="88" spans="2:7" x14ac:dyDescent="0.2">
      <c r="B88" s="51">
        <v>83</v>
      </c>
      <c r="C88" s="53"/>
      <c r="F88" s="53" t="str">
        <f t="shared" si="1"/>
        <v/>
      </c>
      <c r="G88" s="7"/>
    </row>
    <row r="89" spans="2:7" x14ac:dyDescent="0.2">
      <c r="B89" s="51">
        <v>84</v>
      </c>
      <c r="C89" s="53"/>
      <c r="F89" s="53" t="str">
        <f t="shared" si="1"/>
        <v/>
      </c>
      <c r="G89" s="7"/>
    </row>
    <row r="90" spans="2:7" x14ac:dyDescent="0.2">
      <c r="B90" s="51">
        <v>85</v>
      </c>
      <c r="C90" s="53"/>
      <c r="F90" s="53" t="str">
        <f t="shared" si="1"/>
        <v/>
      </c>
      <c r="G90" s="7"/>
    </row>
    <row r="91" spans="2:7" x14ac:dyDescent="0.2">
      <c r="B91" s="51">
        <v>86</v>
      </c>
      <c r="C91" s="53"/>
      <c r="F91" s="53" t="str">
        <f t="shared" si="1"/>
        <v/>
      </c>
      <c r="G91" s="7"/>
    </row>
    <row r="92" spans="2:7" x14ac:dyDescent="0.2">
      <c r="B92" s="51">
        <v>87</v>
      </c>
      <c r="C92" s="53"/>
      <c r="F92" s="53" t="str">
        <f t="shared" si="1"/>
        <v/>
      </c>
      <c r="G92" s="7"/>
    </row>
    <row r="93" spans="2:7" x14ac:dyDescent="0.2">
      <c r="B93" s="51">
        <v>88</v>
      </c>
      <c r="C93" s="53"/>
      <c r="F93" s="53" t="str">
        <f t="shared" si="1"/>
        <v/>
      </c>
      <c r="G93" s="7"/>
    </row>
    <row r="94" spans="2:7" x14ac:dyDescent="0.2">
      <c r="B94" s="51">
        <v>89</v>
      </c>
      <c r="C94" s="53"/>
      <c r="F94" s="53" t="str">
        <f t="shared" si="1"/>
        <v/>
      </c>
      <c r="G94" s="7"/>
    </row>
    <row r="95" spans="2:7" x14ac:dyDescent="0.2">
      <c r="B95" s="51">
        <v>90</v>
      </c>
      <c r="C95" s="53"/>
      <c r="F95" s="53" t="str">
        <f t="shared" si="1"/>
        <v/>
      </c>
      <c r="G95" s="7"/>
    </row>
    <row r="96" spans="2:7" x14ac:dyDescent="0.2">
      <c r="B96" s="51">
        <v>91</v>
      </c>
      <c r="C96" s="53"/>
      <c r="F96" s="53" t="str">
        <f t="shared" si="1"/>
        <v/>
      </c>
      <c r="G96" s="7"/>
    </row>
    <row r="97" spans="2:7" x14ac:dyDescent="0.2">
      <c r="B97" s="51">
        <v>92</v>
      </c>
      <c r="C97" s="53"/>
      <c r="F97" s="53" t="str">
        <f t="shared" si="1"/>
        <v/>
      </c>
      <c r="G97" s="7"/>
    </row>
    <row r="98" spans="2:7" x14ac:dyDescent="0.2">
      <c r="B98" s="51">
        <v>93</v>
      </c>
      <c r="C98" s="53"/>
      <c r="F98" s="53" t="str">
        <f t="shared" si="1"/>
        <v/>
      </c>
      <c r="G98" s="7"/>
    </row>
    <row r="99" spans="2:7" x14ac:dyDescent="0.2">
      <c r="B99" s="51">
        <v>94</v>
      </c>
      <c r="C99" s="53"/>
      <c r="F99" s="53" t="str">
        <f t="shared" si="1"/>
        <v/>
      </c>
      <c r="G99" s="7"/>
    </row>
    <row r="100" spans="2:7" x14ac:dyDescent="0.2">
      <c r="B100" s="51">
        <v>95</v>
      </c>
      <c r="C100" s="53"/>
      <c r="F100" s="53" t="str">
        <f t="shared" si="1"/>
        <v/>
      </c>
      <c r="G100" s="7"/>
    </row>
    <row r="101" spans="2:7" x14ac:dyDescent="0.2">
      <c r="B101" s="51">
        <v>96</v>
      </c>
      <c r="C101" s="53"/>
      <c r="F101" s="53" t="str">
        <f t="shared" si="1"/>
        <v/>
      </c>
      <c r="G101" s="7"/>
    </row>
    <row r="102" spans="2:7" x14ac:dyDescent="0.2">
      <c r="B102" s="51">
        <v>97</v>
      </c>
      <c r="C102" s="53"/>
      <c r="F102" s="53" t="str">
        <f t="shared" si="1"/>
        <v/>
      </c>
      <c r="G102" s="7"/>
    </row>
    <row r="103" spans="2:7" x14ac:dyDescent="0.2">
      <c r="B103" s="51">
        <v>98</v>
      </c>
      <c r="C103" s="53"/>
      <c r="F103" s="53" t="str">
        <f t="shared" si="1"/>
        <v/>
      </c>
      <c r="G103" s="7"/>
    </row>
    <row r="104" spans="2:7" x14ac:dyDescent="0.2">
      <c r="B104" s="51">
        <v>99</v>
      </c>
      <c r="C104" s="53"/>
      <c r="F104" s="53" t="str">
        <f t="shared" si="1"/>
        <v/>
      </c>
      <c r="G104" s="7"/>
    </row>
    <row r="105" spans="2:7" x14ac:dyDescent="0.2">
      <c r="B105" s="51">
        <v>100</v>
      </c>
      <c r="C105" s="53"/>
      <c r="F105" s="53" t="str">
        <f t="shared" si="1"/>
        <v/>
      </c>
      <c r="G105" s="7"/>
    </row>
    <row r="106" spans="2:7" x14ac:dyDescent="0.2">
      <c r="B106" s="51">
        <v>101</v>
      </c>
      <c r="F106" s="53" t="str">
        <f t="shared" si="1"/>
        <v/>
      </c>
      <c r="G106" s="7"/>
    </row>
    <row r="107" spans="2:7" x14ac:dyDescent="0.2">
      <c r="B107" s="51">
        <v>102</v>
      </c>
      <c r="F107" s="53" t="str">
        <f t="shared" si="1"/>
        <v/>
      </c>
      <c r="G107" s="7"/>
    </row>
    <row r="108" spans="2:7" x14ac:dyDescent="0.2">
      <c r="B108" s="51">
        <v>103</v>
      </c>
      <c r="F108" s="53" t="str">
        <f t="shared" si="1"/>
        <v/>
      </c>
      <c r="G108" s="7"/>
    </row>
    <row r="109" spans="2:7" x14ac:dyDescent="0.2">
      <c r="B109" s="51">
        <v>104</v>
      </c>
      <c r="F109" s="53" t="str">
        <f t="shared" si="1"/>
        <v/>
      </c>
      <c r="G109" s="7"/>
    </row>
    <row r="110" spans="2:7" x14ac:dyDescent="0.2">
      <c r="B110" s="51">
        <v>105</v>
      </c>
      <c r="F110" s="53" t="str">
        <f t="shared" si="1"/>
        <v/>
      </c>
      <c r="G110" s="7"/>
    </row>
    <row r="111" spans="2:7" x14ac:dyDescent="0.2">
      <c r="B111" s="51">
        <v>106</v>
      </c>
      <c r="F111" s="53" t="str">
        <f t="shared" si="1"/>
        <v/>
      </c>
      <c r="G111" s="7"/>
    </row>
    <row r="112" spans="2:7" x14ac:dyDescent="0.2">
      <c r="B112" s="51">
        <v>107</v>
      </c>
      <c r="F112" s="53" t="str">
        <f t="shared" si="1"/>
        <v/>
      </c>
      <c r="G112" s="7"/>
    </row>
    <row r="113" spans="2:7" x14ac:dyDescent="0.2">
      <c r="B113" s="51">
        <v>108</v>
      </c>
      <c r="F113" s="53" t="str">
        <f t="shared" si="1"/>
        <v/>
      </c>
      <c r="G113" s="7"/>
    </row>
    <row r="114" spans="2:7" x14ac:dyDescent="0.2">
      <c r="B114" s="51">
        <v>109</v>
      </c>
      <c r="F114" s="53" t="str">
        <f t="shared" si="1"/>
        <v/>
      </c>
      <c r="G114" s="7"/>
    </row>
    <row r="115" spans="2:7" x14ac:dyDescent="0.2">
      <c r="B115" s="51">
        <v>110</v>
      </c>
      <c r="F115" s="53" t="str">
        <f t="shared" si="1"/>
        <v/>
      </c>
      <c r="G115" s="7"/>
    </row>
    <row r="116" spans="2:7" x14ac:dyDescent="0.2">
      <c r="B116" s="51">
        <v>111</v>
      </c>
      <c r="F116" s="53" t="str">
        <f t="shared" si="1"/>
        <v/>
      </c>
      <c r="G116" s="7"/>
    </row>
    <row r="117" spans="2:7" x14ac:dyDescent="0.2">
      <c r="B117" s="51">
        <v>112</v>
      </c>
      <c r="F117" s="53" t="str">
        <f t="shared" si="1"/>
        <v/>
      </c>
      <c r="G117" s="7"/>
    </row>
    <row r="118" spans="2:7" x14ac:dyDescent="0.2">
      <c r="B118" s="51">
        <v>113</v>
      </c>
      <c r="F118" s="53" t="str">
        <f t="shared" si="1"/>
        <v/>
      </c>
      <c r="G118" s="7"/>
    </row>
    <row r="119" spans="2:7" x14ac:dyDescent="0.2">
      <c r="B119" s="51">
        <v>114</v>
      </c>
      <c r="F119" s="53" t="str">
        <f t="shared" si="1"/>
        <v/>
      </c>
      <c r="G119" s="7"/>
    </row>
    <row r="120" spans="2:7" x14ac:dyDescent="0.2">
      <c r="B120" s="51">
        <v>115</v>
      </c>
      <c r="F120" s="53" t="str">
        <f t="shared" si="1"/>
        <v/>
      </c>
      <c r="G120" s="7"/>
    </row>
    <row r="121" spans="2:7" x14ac:dyDescent="0.2">
      <c r="B121" s="51">
        <v>116</v>
      </c>
      <c r="F121" s="53" t="str">
        <f t="shared" si="1"/>
        <v/>
      </c>
      <c r="G121" s="7"/>
    </row>
    <row r="122" spans="2:7" x14ac:dyDescent="0.2">
      <c r="B122" s="51">
        <v>117</v>
      </c>
      <c r="F122" s="53" t="str">
        <f t="shared" si="1"/>
        <v/>
      </c>
      <c r="G122" s="7"/>
    </row>
    <row r="123" spans="2:7" x14ac:dyDescent="0.2">
      <c r="B123" s="51">
        <v>118</v>
      </c>
      <c r="F123" s="53" t="str">
        <f t="shared" si="1"/>
        <v/>
      </c>
      <c r="G123" s="7"/>
    </row>
    <row r="124" spans="2:7" x14ac:dyDescent="0.2">
      <c r="B124" s="51">
        <v>119</v>
      </c>
      <c r="F124" s="53" t="str">
        <f t="shared" si="1"/>
        <v/>
      </c>
      <c r="G124" s="7"/>
    </row>
    <row r="125" spans="2:7" x14ac:dyDescent="0.2">
      <c r="B125" s="51">
        <v>120</v>
      </c>
      <c r="F125" s="53" t="str">
        <f t="shared" si="1"/>
        <v/>
      </c>
      <c r="G125" s="7"/>
    </row>
    <row r="126" spans="2:7" x14ac:dyDescent="0.2">
      <c r="B126" s="51">
        <v>121</v>
      </c>
      <c r="F126" s="53" t="str">
        <f t="shared" si="1"/>
        <v/>
      </c>
      <c r="G126" s="7"/>
    </row>
    <row r="127" spans="2:7" x14ac:dyDescent="0.2">
      <c r="B127" s="51">
        <v>122</v>
      </c>
      <c r="F127" s="53" t="str">
        <f t="shared" si="1"/>
        <v/>
      </c>
      <c r="G127" s="7"/>
    </row>
    <row r="128" spans="2:7" x14ac:dyDescent="0.2">
      <c r="B128" s="51">
        <v>123</v>
      </c>
      <c r="F128" s="53" t="str">
        <f t="shared" si="1"/>
        <v/>
      </c>
      <c r="G128" s="7"/>
    </row>
    <row r="129" spans="2:7" x14ac:dyDescent="0.2">
      <c r="B129" s="51">
        <v>124</v>
      </c>
      <c r="F129" s="53" t="str">
        <f t="shared" si="1"/>
        <v/>
      </c>
      <c r="G129" s="7"/>
    </row>
    <row r="130" spans="2:7" x14ac:dyDescent="0.2">
      <c r="B130" s="51">
        <v>125</v>
      </c>
      <c r="F130" s="53" t="str">
        <f t="shared" si="1"/>
        <v/>
      </c>
      <c r="G130" s="7"/>
    </row>
    <row r="131" spans="2:7" x14ac:dyDescent="0.2">
      <c r="B131" s="51">
        <v>126</v>
      </c>
      <c r="F131" s="53" t="str">
        <f t="shared" si="1"/>
        <v/>
      </c>
      <c r="G131" s="7"/>
    </row>
    <row r="132" spans="2:7" x14ac:dyDescent="0.2">
      <c r="B132" s="51">
        <v>127</v>
      </c>
      <c r="F132" s="53" t="str">
        <f t="shared" si="1"/>
        <v/>
      </c>
      <c r="G132" s="7"/>
    </row>
    <row r="133" spans="2:7" x14ac:dyDescent="0.2">
      <c r="B133" s="51">
        <v>128</v>
      </c>
      <c r="F133" s="53" t="str">
        <f t="shared" si="1"/>
        <v/>
      </c>
      <c r="G133" s="7"/>
    </row>
    <row r="134" spans="2:7" x14ac:dyDescent="0.2">
      <c r="B134" s="51">
        <v>129</v>
      </c>
      <c r="F134" s="53" t="str">
        <f t="shared" si="1"/>
        <v/>
      </c>
      <c r="G134" s="7"/>
    </row>
    <row r="135" spans="2:7" x14ac:dyDescent="0.2">
      <c r="B135" s="51">
        <v>130</v>
      </c>
      <c r="F135" s="53" t="str">
        <f t="shared" ref="F135:F155" si="2">IF(C135="", "", (LEN(C135)-LEN(SUBSTITUTE(C135, "*^", "")))/2)</f>
        <v/>
      </c>
      <c r="G135" s="7"/>
    </row>
    <row r="136" spans="2:7" x14ac:dyDescent="0.2">
      <c r="B136" s="51">
        <v>131</v>
      </c>
      <c r="F136" s="53" t="str">
        <f t="shared" si="2"/>
        <v/>
      </c>
      <c r="G136" s="7"/>
    </row>
    <row r="137" spans="2:7" x14ac:dyDescent="0.2">
      <c r="B137" s="51">
        <v>132</v>
      </c>
      <c r="F137" s="53" t="str">
        <f t="shared" si="2"/>
        <v/>
      </c>
      <c r="G137" s="7"/>
    </row>
    <row r="138" spans="2:7" x14ac:dyDescent="0.2">
      <c r="B138" s="51">
        <v>133</v>
      </c>
      <c r="F138" s="53" t="str">
        <f t="shared" si="2"/>
        <v/>
      </c>
      <c r="G138" s="7"/>
    </row>
    <row r="139" spans="2:7" x14ac:dyDescent="0.2">
      <c r="B139" s="51">
        <v>134</v>
      </c>
      <c r="F139" s="53" t="str">
        <f t="shared" si="2"/>
        <v/>
      </c>
      <c r="G139" s="7"/>
    </row>
    <row r="140" spans="2:7" x14ac:dyDescent="0.2">
      <c r="B140" s="51">
        <v>135</v>
      </c>
      <c r="F140" s="53" t="str">
        <f t="shared" si="2"/>
        <v/>
      </c>
      <c r="G140" s="7"/>
    </row>
    <row r="141" spans="2:7" x14ac:dyDescent="0.2">
      <c r="B141" s="51">
        <v>136</v>
      </c>
      <c r="F141" s="53" t="str">
        <f t="shared" si="2"/>
        <v/>
      </c>
      <c r="G141" s="7"/>
    </row>
    <row r="142" spans="2:7" x14ac:dyDescent="0.2">
      <c r="B142" s="51">
        <v>137</v>
      </c>
      <c r="F142" s="53" t="str">
        <f t="shared" si="2"/>
        <v/>
      </c>
      <c r="G142" s="7"/>
    </row>
    <row r="143" spans="2:7" x14ac:dyDescent="0.2">
      <c r="B143" s="51">
        <v>138</v>
      </c>
      <c r="F143" s="53" t="str">
        <f t="shared" si="2"/>
        <v/>
      </c>
      <c r="G143" s="7"/>
    </row>
    <row r="144" spans="2:7" x14ac:dyDescent="0.2">
      <c r="B144" s="51">
        <v>139</v>
      </c>
      <c r="F144" s="53" t="str">
        <f t="shared" si="2"/>
        <v/>
      </c>
      <c r="G144" s="7"/>
    </row>
    <row r="145" spans="2:7" x14ac:dyDescent="0.2">
      <c r="B145" s="51">
        <v>140</v>
      </c>
      <c r="F145" s="53" t="str">
        <f t="shared" si="2"/>
        <v/>
      </c>
      <c r="G145" s="7"/>
    </row>
    <row r="146" spans="2:7" x14ac:dyDescent="0.2">
      <c r="B146" s="51">
        <v>141</v>
      </c>
      <c r="F146" s="53" t="str">
        <f t="shared" si="2"/>
        <v/>
      </c>
      <c r="G146" s="7"/>
    </row>
    <row r="147" spans="2:7" x14ac:dyDescent="0.2">
      <c r="B147" s="51">
        <v>142</v>
      </c>
      <c r="F147" s="53" t="str">
        <f t="shared" si="2"/>
        <v/>
      </c>
      <c r="G147" s="7"/>
    </row>
    <row r="148" spans="2:7" x14ac:dyDescent="0.2">
      <c r="B148" s="51">
        <v>143</v>
      </c>
      <c r="F148" s="53" t="str">
        <f t="shared" si="2"/>
        <v/>
      </c>
      <c r="G148" s="7"/>
    </row>
    <row r="149" spans="2:7" x14ac:dyDescent="0.2">
      <c r="B149" s="51">
        <v>144</v>
      </c>
      <c r="F149" s="53" t="str">
        <f t="shared" si="2"/>
        <v/>
      </c>
      <c r="G149" s="7"/>
    </row>
    <row r="150" spans="2:7" x14ac:dyDescent="0.2">
      <c r="B150" s="51">
        <v>145</v>
      </c>
      <c r="F150" s="53" t="str">
        <f t="shared" si="2"/>
        <v/>
      </c>
      <c r="G150" s="7"/>
    </row>
    <row r="151" spans="2:7" x14ac:dyDescent="0.2">
      <c r="B151" s="51">
        <v>146</v>
      </c>
      <c r="F151" s="53" t="str">
        <f t="shared" si="2"/>
        <v/>
      </c>
      <c r="G151" s="7"/>
    </row>
    <row r="152" spans="2:7" x14ac:dyDescent="0.2">
      <c r="B152" s="51">
        <v>147</v>
      </c>
      <c r="F152" s="53" t="str">
        <f t="shared" si="2"/>
        <v/>
      </c>
      <c r="G152" s="7"/>
    </row>
    <row r="153" spans="2:7" x14ac:dyDescent="0.2">
      <c r="B153" s="51">
        <v>148</v>
      </c>
      <c r="F153" s="53" t="str">
        <f t="shared" si="2"/>
        <v/>
      </c>
      <c r="G153" s="7"/>
    </row>
    <row r="154" spans="2:7" x14ac:dyDescent="0.2">
      <c r="B154" s="51">
        <v>149</v>
      </c>
      <c r="F154" s="53" t="str">
        <f t="shared" si="2"/>
        <v/>
      </c>
      <c r="G154" s="7"/>
    </row>
    <row r="155" spans="2:7" x14ac:dyDescent="0.2">
      <c r="B155" s="57">
        <v>150</v>
      </c>
      <c r="C155" s="58"/>
      <c r="D155" s="58"/>
      <c r="E155" s="58"/>
      <c r="F155" s="59" t="str">
        <f t="shared" si="2"/>
        <v/>
      </c>
      <c r="G155" s="60"/>
    </row>
    <row r="157" spans="2:7" x14ac:dyDescent="0.2">
      <c r="B157" s="1" t="s">
        <v>55</v>
      </c>
      <c r="C157" s="1"/>
      <c r="D157" s="54">
        <f>COUNTA(D6:D155)</f>
        <v>51</v>
      </c>
    </row>
    <row r="158" spans="2:7" x14ac:dyDescent="0.2">
      <c r="B158" s="1" t="s">
        <v>58</v>
      </c>
      <c r="C158" s="1"/>
      <c r="D158" s="55" t="str">
        <f>IFERROR(AVERAGE(E6:E155), "")</f>
        <v/>
      </c>
    </row>
    <row r="159" spans="2:7" x14ac:dyDescent="0.2">
      <c r="B159" s="1" t="s">
        <v>61</v>
      </c>
      <c r="C159" s="1"/>
      <c r="D159" s="54">
        <f>SUM(F6:F155)</f>
        <v>53</v>
      </c>
    </row>
  </sheetData>
  <mergeCells count="3">
    <mergeCell ref="B2:G2"/>
    <mergeCell ref="B3:G3"/>
    <mergeCell ref="B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 Samuel Young</dc:creator>
  <cp:lastModifiedBy>Evan Samuel Young</cp:lastModifiedBy>
  <dcterms:created xsi:type="dcterms:W3CDTF">2026-03-16T19:29:07Z</dcterms:created>
  <dcterms:modified xsi:type="dcterms:W3CDTF">2026-03-16T19:37:21Z</dcterms:modified>
</cp:coreProperties>
</file>